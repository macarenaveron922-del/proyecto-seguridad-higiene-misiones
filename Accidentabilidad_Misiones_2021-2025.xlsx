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mian\Downloads\"/>
    </mc:Choice>
  </mc:AlternateContent>
  <xr:revisionPtr revIDLastSave="0" documentId="13_ncr:1_{39F9E9F4-328B-473F-8C5F-6EF4649AB0EA}" xr6:coauthVersionLast="47" xr6:coauthVersionMax="47" xr10:uidLastSave="{00000000-0000-0000-0000-000000000000}"/>
  <bookViews>
    <workbookView xWindow="-108" yWindow="-108" windowWidth="23256" windowHeight="12456" tabRatio="500" firstSheet="4" activeTab="7" xr2:uid="{00000000-000D-0000-FFFF-FFFF00000000}"/>
  </bookViews>
  <sheets>
    <sheet name="Portada" sheetId="1" r:id="rId1"/>
    <sheet name="Misiones" sheetId="2" r:id="rId2"/>
    <sheet name="Industria nacional" sheetId="3" r:id="rId3"/>
    <sheet name="Total sistema" sheetId="4" r:id="rId4"/>
    <sheet name="Causas y riesgos" sheetId="5" r:id="rId5"/>
    <sheet name="Indicadores" sheetId="6" r:id="rId6"/>
    <sheet name="Fuentes" sheetId="7" r:id="rId7"/>
    <sheet name="Limitaciones" sheetId="8" r:id="rId8"/>
  </sheets>
  <definedNames>
    <definedName name="_xlnm._FilterDatabase" localSheetId="6" hidden="1">Fuentes!$A$4:$H$7</definedName>
    <definedName name="_xlnm._FilterDatabase" localSheetId="5" hidden="1">Indicadores!$A$5:$K$20</definedName>
    <definedName name="_xlnm._FilterDatabase" localSheetId="2" hidden="1">'Industria nacional'!$A$5:$J$11</definedName>
    <definedName name="_xlnm._FilterDatabase" localSheetId="1" hidden="1">Misiones!$A$5:$L$25</definedName>
    <definedName name="_xlnm._FilterDatabase" localSheetId="3" hidden="1">'Total sistema'!$A$5:$J$10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0" i="6" l="1"/>
  <c r="C79" i="6"/>
  <c r="C60" i="6"/>
  <c r="C59" i="6"/>
  <c r="D41" i="6"/>
  <c r="C41" i="6"/>
  <c r="D40" i="6"/>
  <c r="C40" i="6"/>
  <c r="D39" i="6"/>
  <c r="C39" i="6"/>
  <c r="F30" i="6"/>
  <c r="D30" i="6"/>
  <c r="C30" i="6"/>
  <c r="E30" i="6" s="1"/>
  <c r="G30" i="6" s="1"/>
  <c r="H26" i="6"/>
  <c r="E26" i="6"/>
  <c r="F26" i="6" s="1"/>
  <c r="I26" i="6" s="1"/>
  <c r="D26" i="6"/>
  <c r="G26" i="6" s="1"/>
  <c r="C26" i="6"/>
  <c r="H25" i="6"/>
  <c r="G25" i="6"/>
  <c r="E25" i="6"/>
  <c r="D25" i="6"/>
  <c r="C25" i="6"/>
  <c r="F25" i="6" s="1"/>
  <c r="I25" i="6" s="1"/>
  <c r="G20" i="6"/>
  <c r="G18" i="6"/>
  <c r="E18" i="6"/>
  <c r="I17" i="6"/>
  <c r="G17" i="6"/>
  <c r="E17" i="6"/>
  <c r="I16" i="6"/>
  <c r="G16" i="6"/>
  <c r="E16" i="6"/>
  <c r="G15" i="6"/>
  <c r="E15" i="6"/>
  <c r="I15" i="6" s="1"/>
  <c r="G14" i="6"/>
  <c r="E14" i="6"/>
  <c r="I14" i="6" s="1"/>
  <c r="G13" i="6"/>
  <c r="E13" i="6"/>
  <c r="I13" i="6" s="1"/>
  <c r="G12" i="6"/>
  <c r="I12" i="6" s="1"/>
  <c r="E12" i="6"/>
  <c r="G11" i="6"/>
  <c r="I11" i="6" s="1"/>
  <c r="E11" i="6"/>
  <c r="G10" i="6"/>
  <c r="E10" i="6"/>
  <c r="I10" i="6" s="1"/>
  <c r="I9" i="6"/>
  <c r="G9" i="6"/>
  <c r="E9" i="6"/>
  <c r="I8" i="6"/>
  <c r="G8" i="6"/>
  <c r="E8" i="6"/>
  <c r="G7" i="6"/>
  <c r="E7" i="6"/>
  <c r="I7" i="6" s="1"/>
  <c r="G6" i="6"/>
  <c r="E6" i="6"/>
  <c r="I6" i="6" s="1"/>
  <c r="B25" i="5"/>
  <c r="B26" i="5" s="1"/>
  <c r="B17" i="5"/>
  <c r="B18" i="5" s="1"/>
  <c r="B10" i="5"/>
</calcChain>
</file>

<file path=xl/sharedStrings.xml><?xml version="1.0" encoding="utf-8"?>
<sst xmlns="http://schemas.openxmlformats.org/spreadsheetml/2006/main" count="682" uniqueCount="310">
  <si>
    <t>Seguridad e Higiene Laboral: análisis de la accidentabilidad en la industria de Misiones y su relación con el sistema de ART (2021-2025)</t>
  </si>
  <si>
    <t>Título del trabajo</t>
  </si>
  <si>
    <t>Objetivo del libro</t>
  </si>
  <si>
    <t>Analizar la evolución de la accidentabilidad laboral en la provincia de Misiones entre 2021 y 2025 con estadísticas de la SRT y otras fuentes identificadas, y establecer un marco comparativo con los datos nacionales de la industria manufacturera.</t>
  </si>
  <si>
    <t>Período de análisis</t>
  </si>
  <si>
    <t>Alcance geográfico</t>
  </si>
  <si>
    <t>Provincia de Misiones (datos parciales) y total nacional (industria manufacturera y total del sistema) como marco comparativo.</t>
  </si>
  <si>
    <t>Carrera</t>
  </si>
  <si>
    <t>Seguridad e Higiene Laboral</t>
  </si>
  <si>
    <t>Autor/a</t>
  </si>
  <si>
    <t>Fecha de elaboración</t>
  </si>
  <si>
    <t>30/09/2026</t>
  </si>
  <si>
    <t>Código de colores</t>
  </si>
  <si>
    <t>Dato oficial (SRT) transcripto del material de partida, no contrastado con el original</t>
  </si>
  <si>
    <t>Dato periodístico (medio identificado)</t>
  </si>
  <si>
    <t>Dato sin fuente primaria identificada en el material (se cita la investigación adjunta); requiere verificación</t>
  </si>
  <si>
    <t>Dato no disponible en la fuente consultada</t>
  </si>
  <si>
    <t>Celda blanca con texto negro: fórmula calculada · texto verde: vínculo a otra hoja</t>
  </si>
  <si>
    <t>Accidentabilidad laboral en Misiones: datos disponibles (2021-2025)</t>
  </si>
  <si>
    <t>Año</t>
  </si>
  <si>
    <t>Período</t>
  </si>
  <si>
    <t>Tipo de período</t>
  </si>
  <si>
    <t>Indicador</t>
  </si>
  <si>
    <t>Valor</t>
  </si>
  <si>
    <t>Unidad</t>
  </si>
  <si>
    <t>Población de referencia</t>
  </si>
  <si>
    <t>Sector</t>
  </si>
  <si>
    <t>Fuente</t>
  </si>
  <si>
    <t>Enlace</t>
  </si>
  <si>
    <t>Clasificación del dato</t>
  </si>
  <si>
    <t>Observaciones</t>
  </si>
  <si>
    <t>2022</t>
  </si>
  <si>
    <t>Enero-junio 2022</t>
  </si>
  <si>
    <t>Parcial (6 meses)</t>
  </si>
  <si>
    <t>Casos (tipo no especificado)</t>
  </si>
  <si>
    <t>casos</t>
  </si>
  <si>
    <t>No especificada en el material</t>
  </si>
  <si>
    <t>No especificado en la fuente; no específico de papel y celulosa</t>
  </si>
  <si>
    <t>Investigación adjunta (comparación citada); fuente primaria no identificada</t>
  </si>
  <si>
    <t>No disponible en la fuente consultada</t>
  </si>
  <si>
    <t>Sin fuente primaria identificada</t>
  </si>
  <si>
    <t>Cifra de la comparación citada en la investigación. No se sabe si son casos notificados o con baja.</t>
  </si>
  <si>
    <t>2023</t>
  </si>
  <si>
    <t>Enero-junio 2023</t>
  </si>
  <si>
    <t>Casos notificados</t>
  </si>
  <si>
    <t>casos notificados</t>
  </si>
  <si>
    <t>El Territorio (prensa, Misiones)</t>
  </si>
  <si>
    <t>Periodístico</t>
  </si>
  <si>
    <t>Cifra de prensa. Título, fecha y enlace de la nota no consignados en el material.</t>
  </si>
  <si>
    <t>2024</t>
  </si>
  <si>
    <t>Año 2024</t>
  </si>
  <si>
    <t>Anual según la investigación (alcance por verificar)</t>
  </si>
  <si>
    <t>Investigación adjunta; fuente primaria no identificada</t>
  </si>
  <si>
    <t>La investigación lo consigna como “año 2024”. Ver hoja 'Indicadores' (verificación B2): no se puede confirmar que sea equivalente a ene-sep 2025.</t>
  </si>
  <si>
    <t>2025</t>
  </si>
  <si>
    <t>Enero-septiembre 2025</t>
  </si>
  <si>
    <t>Parcial (9 meses)</t>
  </si>
  <si>
    <t>Período parcial. No comparar con un año completo.</t>
  </si>
  <si>
    <t>Enero-septiembre 2024</t>
  </si>
  <si>
    <t>Casos de mujeres trabajadoras</t>
  </si>
  <si>
    <t>Tipo de caso no especificado.</t>
  </si>
  <si>
    <t>Mismo período y mismo indicador que la fila anterior (comparable).</t>
  </si>
  <si>
    <t>Casos con secuelas incapacitantes</t>
  </si>
  <si>
    <t>Valor del período comparable de 2024: no disponible en el material.</t>
  </si>
  <si>
    <t>2024-2025</t>
  </si>
  <si>
    <t>Períodos comparados (no precisados)</t>
  </si>
  <si>
    <t>No precisado</t>
  </si>
  <si>
    <t>Variación informada: casos con días de baja</t>
  </si>
  <si>
    <t>variación %</t>
  </si>
  <si>
    <t>Solo se dispone de la variación informada, sin valores absolutos ni períodos exactos. No puede recalcularse.</t>
  </si>
  <si>
    <t>2025 vs. período previo no precisado</t>
  </si>
  <si>
    <t>Ene-sep 2025 vs. período de comparación no precisado</t>
  </si>
  <si>
    <t>Parcial</t>
  </si>
  <si>
    <t>Variación informada: secuelas incapacitantes</t>
  </si>
  <si>
    <t>Variación informada; el valor base no figura en el material. No puede recalcularse.</t>
  </si>
  <si>
    <t>Períodos por revisar</t>
  </si>
  <si>
    <t>No verificado</t>
  </si>
  <si>
    <t>Variación informada: total de casos</t>
  </si>
  <si>
    <t>La propia investigación advierte que los períodos deben revisarse. No se afirma que sean equivalentes. Ver 'Indicadores'.</t>
  </si>
  <si>
    <t>2021</t>
  </si>
  <si>
    <t>Año 2021</t>
  </si>
  <si>
    <t>Anual</t>
  </si>
  <si>
    <t>Total de casos</t>
  </si>
  <si>
    <t>—</t>
  </si>
  <si>
    <t>No disponible</t>
  </si>
  <si>
    <t>Misiones: serie 2021</t>
  </si>
  <si>
    <t>Año 2022 (completo)</t>
  </si>
  <si>
    <t>Solo se dispone de ene-jun 2022.</t>
  </si>
  <si>
    <t>Año 2023 (completo)</t>
  </si>
  <si>
    <t>Solo se dispone de ene-jun 2023.</t>
  </si>
  <si>
    <t>Necesario para comparar con ene-sep 2025.</t>
  </si>
  <si>
    <t>Año 2025 (completo)</t>
  </si>
  <si>
    <t>Solo se dispone de ene-sep 2025.</t>
  </si>
  <si>
    <t>2021-2025</t>
  </si>
  <si>
    <t>Todos</t>
  </si>
  <si>
    <t>Índice de incidencia de Misiones</t>
  </si>
  <si>
    <t>Falta el denominador (trabajadores cubiertos de Misiones) en todos los períodos; no se calcula.</t>
  </si>
  <si>
    <t>Desagregación AT / EP / in itinere / reingresos</t>
  </si>
  <si>
    <t>No distinguible en las cifras del material.</t>
  </si>
  <si>
    <t>Fallecidos en Misiones</t>
  </si>
  <si>
    <t>No consignado en el material.</t>
  </si>
  <si>
    <t>Accidentabilidad en papel y celulosa en Misiones</t>
  </si>
  <si>
    <t>No existen datos públicos desagregados por esa actividad en el material.</t>
  </si>
  <si>
    <t>Accidentabilidad por empresa individual</t>
  </si>
  <si>
    <t>No existen datos públicos desagregados por empresa en el material.</t>
  </si>
  <si>
    <t>Industria manufacturera – Argentina (total nacional)</t>
  </si>
  <si>
    <t>Clasificación</t>
  </si>
  <si>
    <t>Índice de incidencia (casos por mil trabajadores)</t>
  </si>
  <si>
    <t>casos / 1.000 trab.</t>
  </si>
  <si>
    <t>SRT, según la investigación adjunta (documento exacto no consignado)</t>
  </si>
  <si>
    <t>Oficial (transcripto, sin contrastar)</t>
  </si>
  <si>
    <t>Valor publicado. Ver verificación en 'Indicadores' (B1).</t>
  </si>
  <si>
    <t>Fallecidos por AT y EP</t>
  </si>
  <si>
    <t>personas</t>
  </si>
  <si>
    <t>AT y EP agrupados; no se separan.</t>
  </si>
  <si>
    <t>No mezclar con casos con baja.</t>
  </si>
  <si>
    <t>Casos con baja</t>
  </si>
  <si>
    <t>Subconjunto distinto de los notificados.</t>
  </si>
  <si>
    <t>Trabajadores cubiertos</t>
  </si>
  <si>
    <t>trabajadores</t>
  </si>
  <si>
    <t>Denominador de los índices de incidencia.</t>
  </si>
  <si>
    <t>Duración media de las bajas</t>
  </si>
  <si>
    <t>días</t>
  </si>
  <si>
    <t>Solo 2022 disponible; no comparable con el total del sistema de otro año.</t>
  </si>
  <si>
    <t>Indicadores NO incluidos por no figurar en el material para la industria manufacturera: índice de frecuencia, índice de incidencia de casos mortales, duración media de bajas (2021 y 2024), cualquier dato de 2023 y 2025.</t>
  </si>
  <si>
    <t>Total del sistema – Argentina (todas las actividades)</t>
  </si>
  <si>
    <t>Índice de incidencia AT y EP en unidades productivas</t>
  </si>
  <si>
    <t>Se transcribe la denominación del material para 2021.</t>
  </si>
  <si>
    <t>Índice de frecuencia</t>
  </si>
  <si>
    <t>casos / millón de horas</t>
  </si>
  <si>
    <t>Solo 2021.</t>
  </si>
  <si>
    <t>2021 y 2024.</t>
  </si>
  <si>
    <t>Índice de incidencia de casos mortales</t>
  </si>
  <si>
    <t>por millón</t>
  </si>
  <si>
    <t>Solo 2024.</t>
  </si>
  <si>
    <t>Causas y riesgos – Argentina, 2024 (porcentajes NACIONALES)</t>
  </si>
  <si>
    <t>A. Accidentes: forma de ocurrencia</t>
  </si>
  <si>
    <t>Categoría</t>
  </si>
  <si>
    <t>Porcentaje</t>
  </si>
  <si>
    <t>Caídas de personas</t>
  </si>
  <si>
    <t>SRT, según la investigación adjunta (2024)</t>
  </si>
  <si>
    <t>Pisadas, choques o golpes por objetos</t>
  </si>
  <si>
    <t>Esfuerzos excesivos</t>
  </si>
  <si>
    <t>Otras formas</t>
  </si>
  <si>
    <t>Suma de las categorías informadas</t>
  </si>
  <si>
    <t>Fórmula</t>
  </si>
  <si>
    <t>Suma = 100%: las cuatro categorías cubren el total.</t>
  </si>
  <si>
    <t>B. Accidentes: agente material (categorías principales informadas)</t>
  </si>
  <si>
    <t>Interior del ambiente de trabajo</t>
  </si>
  <si>
    <t>Medios de transporte terrestre</t>
  </si>
  <si>
    <t>Herramientas y utensilios</t>
  </si>
  <si>
    <t>Porcentaje restante (aritmético; NO detallado en el material)</t>
  </si>
  <si>
    <t>No se sabe qué agentes lo componen; no interpretarlo como “otros”.</t>
  </si>
  <si>
    <t>C. Enfermedades profesionales (principales informadas)</t>
  </si>
  <si>
    <t>Ruido</t>
  </si>
  <si>
    <t>Posiciones forzadas y gestos repetitivos</t>
  </si>
  <si>
    <t>Sobrecarga del uso de la voz</t>
  </si>
  <si>
    <t>No se sabe qué enfermedades lo componen.</t>
  </si>
  <si>
    <t>Nota: porcentajes nacionales 2024 (SRT, según la investigación adjunta). No específicos de Misiones ni de papel y celulosa. Universo (total sistema o industria) por verificar.</t>
  </si>
  <si>
    <t>Indicadores y variaciones porcentuales</t>
  </si>
  <si>
    <t>Variación % = (valor final − valor inicial) / valor inicial. Solo se calcula entre períodos comparables. Valores de origen vinculados a las otras hojas.</t>
  </si>
  <si>
    <t>A. Variaciones porcentuales</t>
  </si>
  <si>
    <t>ID</t>
  </si>
  <si>
    <t>Ámbito</t>
  </si>
  <si>
    <t>Período inicial</t>
  </si>
  <si>
    <t>Valor inicial</t>
  </si>
  <si>
    <t>Período final</t>
  </si>
  <si>
    <t>Valor final</t>
  </si>
  <si>
    <t>¿Comparable?</t>
  </si>
  <si>
    <t>Variación calculada</t>
  </si>
  <si>
    <t>Variación informada en la fuente</t>
  </si>
  <si>
    <t>N1</t>
  </si>
  <si>
    <t>Industria nac.</t>
  </si>
  <si>
    <t>Índice de incidencia (por mil trab.)</t>
  </si>
  <si>
    <t>Sí (años consecutivos, mismo indicador)</t>
  </si>
  <si>
    <t>No informada</t>
  </si>
  <si>
    <t>Años completos consecutivos.</t>
  </si>
  <si>
    <t>N2</t>
  </si>
  <si>
    <t>Sí</t>
  </si>
  <si>
    <t>Números absolutos pequeños: interpretar con cautela.</t>
  </si>
  <si>
    <t>N3</t>
  </si>
  <si>
    <t>Solo notificados con notificados.</t>
  </si>
  <si>
    <t>N4</t>
  </si>
  <si>
    <t>Solo con baja con con baja.</t>
  </si>
  <si>
    <t>N5</t>
  </si>
  <si>
    <t>Crecimiento de la población cubierta.</t>
  </si>
  <si>
    <t>N6</t>
  </si>
  <si>
    <t>Sí, con reserva (intervalo de 2 años; 2023 no disponible)</t>
  </si>
  <si>
    <t>No describe la trayectoria de 2023.</t>
  </si>
  <si>
    <t>S1</t>
  </si>
  <si>
    <t>Total sistema</t>
  </si>
  <si>
    <t>S2</t>
  </si>
  <si>
    <t>Sí, con reserva (2023 no disponible)</t>
  </si>
  <si>
    <t>S3</t>
  </si>
  <si>
    <t>S4</t>
  </si>
  <si>
    <t>Duración media de las bajas (días)</t>
  </si>
  <si>
    <t>Sí, con reserva (intervalo de 3 años; sin datos intermedios)</t>
  </si>
  <si>
    <t>M1</t>
  </si>
  <si>
    <t>Misiones</t>
  </si>
  <si>
    <t>Total de casos (enero-junio)</t>
  </si>
  <si>
    <t>Ene-jun 2022</t>
  </si>
  <si>
    <t>Ene-jun 2023</t>
  </si>
  <si>
    <t>Sí, con reserva: mismo período, pero el tipo de caso de 2022 no está especificado y el de 2023 es “notificados”</t>
  </si>
  <si>
    <t>Comparación con condición: confirmar que ambas cifras miden lo mismo (notificados).</t>
  </si>
  <si>
    <t>M2</t>
  </si>
  <si>
    <t>Casos de mujeres trabajadoras (ene-sep)</t>
  </si>
  <si>
    <t>Ene-sep 2024</t>
  </si>
  <si>
    <t>Ene-sep 2025</t>
  </si>
  <si>
    <t>Sí (mismo período e indicador)</t>
  </si>
  <si>
    <t>Comparación válida en los términos del material.</t>
  </si>
  <si>
    <t>M3</t>
  </si>
  <si>
    <t>NO: año 2024 vs. 9 meses de 2025; equivalencia no verificada</t>
  </si>
  <si>
    <t>No calculable (períodos no equivalentes)</t>
  </si>
  <si>
    <t>Se informa el 5,1% de la investigación, pero NO se calcula ni se presenta como variación válida. Ver B2.</t>
  </si>
  <si>
    <t>M4</t>
  </si>
  <si>
    <t>Casos con días de baja</t>
  </si>
  <si>
    <t>NO: valores absolutos no disponibles</t>
  </si>
  <si>
    <t>No calculable</t>
  </si>
  <si>
    <t>Solo se cuenta con la variación informada por la fuente.</t>
  </si>
  <si>
    <t>M5</t>
  </si>
  <si>
    <t>NO: falta el valor del período inicial</t>
  </si>
  <si>
    <t>No se despeja el valor base a partir de la variación informada (sería una estimación).</t>
  </si>
  <si>
    <t>B. Verificaciones</t>
  </si>
  <si>
    <t>B1. ¿Con qué numerador se calcula el índice de incidencia nacional de la industria? (índice = casos / trabajadores cubiertos × 1.000)</t>
  </si>
  <si>
    <t>Índice calc. con “casos con baja”</t>
  </si>
  <si>
    <t>Índice calc. con “casos notificados”</t>
  </si>
  <si>
    <t>Índice publicado</t>
  </si>
  <si>
    <t>Diferencia (con baja − publicado)</t>
  </si>
  <si>
    <t>Lectura</t>
  </si>
  <si>
    <t>B1-2021</t>
  </si>
  <si>
    <t>El índice publicado coincide con casos CON BAJA / trabajadores, no con notificados. Por eso se cita “casos con baja por mil trabajadores”.</t>
  </si>
  <si>
    <t>B1-2022</t>
  </si>
  <si>
    <t>B2. Verificación aritmética de la variación total informada para Misiones (5,1%)</t>
  </si>
  <si>
    <t>Valor “año 2024”</t>
  </si>
  <si>
    <t>Valor “ene-sep 2025”</t>
  </si>
  <si>
    <t>Variación aritmética entre ambos</t>
  </si>
  <si>
    <t>Variación informada</t>
  </si>
  <si>
    <t>Diferencia</t>
  </si>
  <si>
    <t>B2</t>
  </si>
  <si>
    <t>El 5,1% informado coincide numéricamente con comparar las dos cifras tal como están rotuladas (año 2024 vs. ene-sep 2025). Eso implica comparar 12 con 9 meses, o bien que 5.258 corresponda en realidad a ene-sep 2024. El material no permite resolverlo: verificar en la fuente. La variación no se usa como válida.</t>
  </si>
  <si>
    <t>B3. Índice de incidencia de Misiones</t>
  </si>
  <si>
    <t>B3</t>
  </si>
  <si>
    <t>No calculable: falta el denominador (trabajadores cubiertos en Misiones) en todos los períodos. No se usó ninguna estimación.</t>
  </si>
  <si>
    <t>C. Gráficos (solo datos comparables)</t>
  </si>
  <si>
    <t>Gráfico 1. Índice de incidencia: industria manufacturera vs. total del sistema (Argentina)</t>
  </si>
  <si>
    <t>Industria manufacturera</t>
  </si>
  <si>
    <t>Total del sistema</t>
  </si>
  <si>
    <t>Gráfico 2. Misiones: casos en enero-junio de 2022 y 2023</t>
  </si>
  <si>
    <t>Casos</t>
  </si>
  <si>
    <t>Gráfico 3. Misiones: casos de mujeres trabajadoras, enero-septiembre</t>
  </si>
  <si>
    <t>Casos de mujeres</t>
  </si>
  <si>
    <t>Fuentes utilizadas</t>
  </si>
  <si>
    <t>N°</t>
  </si>
  <si>
    <t>Institución o medio</t>
  </si>
  <si>
    <t>Título del documento</t>
  </si>
  <si>
    <t>Tipo de fuente</t>
  </si>
  <si>
    <t>Datos que respalda</t>
  </si>
  <si>
    <t>Superintendencia de Riesgos del Trabajo (SRT), Argentina</t>
  </si>
  <si>
    <t>Estadísticas/informes de accidentabilidad laboral (título exacto no consignado en el material)</t>
  </si>
  <si>
    <t>2021-2025 (según dato)</t>
  </si>
  <si>
    <t>https://www.srt.gob.ar (sitio institucional; documento específico no verificado)</t>
  </si>
  <si>
    <t>Oficial</t>
  </si>
  <si>
    <t>Indicadores nacionales de industria manufacturera y total del sistema; causas y riesgos 2024; posiblemente cifras de Misiones</t>
  </si>
  <si>
    <t>Transcripto desde la investigación adjunta. Consultar el documento original para completar título y enlace.</t>
  </si>
  <si>
    <t>Nota sobre casos notificados en Misiones, enero-junio 2023 (título no consignado)</t>
  </si>
  <si>
    <t>Periodística</t>
  </si>
  <si>
    <t>Misiones, ene-jun 2023: 4.031 casos notificados</t>
  </si>
  <si>
    <t>Completar título, fecha y enlace de la nota.</t>
  </si>
  <si>
    <t>Investigación adjunta por la persona usuaria</t>
  </si>
  <si>
    <t>Material de partida (documento de investigación)</t>
  </si>
  <si>
    <t>2026 (elaboración)</t>
  </si>
  <si>
    <t>Técnica (secundaria)</t>
  </si>
  <si>
    <t>Cifras de Misiones 2022, 2024 y 2025; mujeres; variaciones informadas; limitaciones</t>
  </si>
  <si>
    <t>Fuente secundaria: no identifica la fuente primaria de cada cifra de Misiones. Verificar antes de citar.</t>
  </si>
  <si>
    <t>Limitaciones de los datos</t>
  </si>
  <si>
    <t>Tema</t>
  </si>
  <si>
    <t>Qué no está disponible</t>
  </si>
  <si>
    <t>Por qué limita las conclusiones</t>
  </si>
  <si>
    <t>Serie de Misiones</t>
  </si>
  <si>
    <t>No hay serie anual completa y homogénea 2021-2025 (solo ene-jun 2022, ene-jun 2023, año 2024 y ene-sep 2025).</t>
  </si>
  <si>
    <t>No puede describirse la tendencia anual de Misiones ni compararse años completos con períodos parciales.</t>
  </si>
  <si>
    <t>Períodos de 2024 y 2025</t>
  </si>
  <si>
    <t>No se verifica si “año 2024” y “ene-sep 2025” son comparables; el 5,1% informado equivale a dividir esas dos cifras (hoja 'Indicadores', B2).</t>
  </si>
  <si>
    <t>Puede compararse un año completo con nueve meses. Por eso no se afirma un aumento interanual.</t>
  </si>
  <si>
    <t>Tipo de casos</t>
  </si>
  <si>
    <t>Las cifras de Misiones no especifican si son AT, EP, in itinere, reingresos, notificados o con baja (salvo “notificados” en 2023).</t>
  </si>
  <si>
    <t>Sumar o comparar cifras de distinta naturaleza produciría resultados inválidos.</t>
  </si>
  <si>
    <t>Denominador en Misiones</t>
  </si>
  <si>
    <t>No hay trabajadores cubiertos de Misiones en el material.</t>
  </si>
  <si>
    <t>No puede calcularse el índice de incidencia provincial ni compararlo con el nacional.</t>
  </si>
  <si>
    <t>Papel y celulosa</t>
  </si>
  <si>
    <t>No existen datos públicos desagregados por actividad en Misiones en el material.</t>
  </si>
  <si>
    <t>Los datos de industria manufacturera nacional no pueden atribuirse a papel y celulosa: incluyen actividades muy distintas.</t>
  </si>
  <si>
    <t>Empresas individuales</t>
  </si>
  <si>
    <t>No hay datos públicos por empresa.</t>
  </si>
  <si>
    <t>No pueden evaluarse empresas concretas ni su desempeño.</t>
  </si>
  <si>
    <t>Datos nacionales incompletos</t>
  </si>
  <si>
    <t>Industria: sin 2023 y 2025; 2024 solo con índice. Total sistema: datos parciales por año.</t>
  </si>
  <si>
    <t>Las comparaciones nacionales usan solo años disponibles, algunos no consecutivos.</t>
  </si>
  <si>
    <t>Universo de causas 2024</t>
  </si>
  <si>
    <t>No se aclara si los porcentajes de causas son del total del sistema o de la industria; los agentes y enfermedades suman menos de 100%.</t>
  </si>
  <si>
    <t>No pueden asignarse a la industria ni a Misiones, ni interpretar el resto no detallado.</t>
  </si>
  <si>
    <t>Relación con el sistema de ART</t>
  </si>
  <si>
    <t>No hay datos por aseguradora (ART), cobertura provincial, prevención, inspecciones ni siniestralidad por ART.</t>
  </si>
  <si>
    <t>Los datos no permiten evaluar el desempeño de las ART ni causalidad entre el sistema de ART y la accidentabilidad.</t>
  </si>
  <si>
    <t>Verificación de fuentes</t>
  </si>
  <si>
    <t>Sin acceso a internet: ninguna cifra se contrastó con el original; faltan títulos y enlaces exactos.</t>
  </si>
  <si>
    <t>Todas las cifras deben verificarse antes de la entrega.</t>
  </si>
  <si>
    <t xml:space="preserve">2021-2025 </t>
  </si>
  <si>
    <t>Macarena Soledad Veron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</si>
</sst>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i/>
      <sz val="10"/>
      <color rgb="FF000000"/>
      <name val="Arial"/>
      <charset val="1"/>
    </font>
    <font>
      <b/>
      <sz val="10"/>
      <color rgb="FFFFFFFF"/>
      <name val="Arial"/>
      <charset val="1"/>
    </font>
    <font>
      <sz val="8"/>
      <color rgb="FF000000"/>
      <name val="Arial"/>
      <charset val="1"/>
    </font>
    <font>
      <sz val="10"/>
      <color rgb="FF007A33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D6DCE4"/>
        <bgColor rgb="FFD9D9D9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9F9F9"/>
      </patternFill>
    </fill>
    <fill>
      <patternFill patternType="solid">
        <fgColor rgb="FFDDEBF7"/>
        <bgColor rgb="FFE2EFDA"/>
      </patternFill>
    </fill>
    <fill>
      <patternFill patternType="solid">
        <fgColor rgb="FFD9D9D9"/>
        <bgColor rgb="FFD6DCE4"/>
      </patternFill>
    </fill>
    <fill>
      <patternFill patternType="solid">
        <fgColor rgb="FF1F3864"/>
        <bgColor rgb="FF333333"/>
      </patternFill>
    </fill>
    <fill>
      <patternFill patternType="solid">
        <fgColor rgb="FFF8CBAD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6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7" fillId="7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right" vertical="top"/>
    </xf>
    <xf numFmtId="3" fontId="3" fillId="4" borderId="1" xfId="0" applyNumberFormat="1" applyFont="1" applyFill="1" applyBorder="1" applyAlignment="1">
      <alignment horizontal="right" vertical="top"/>
    </xf>
    <xf numFmtId="164" fontId="3" fillId="5" borderId="1" xfId="0" applyNumberFormat="1" applyFont="1" applyFill="1" applyBorder="1" applyAlignment="1">
      <alignment horizontal="right" vertical="top"/>
    </xf>
    <xf numFmtId="0" fontId="2" fillId="0" borderId="1" xfId="0" applyFont="1" applyBorder="1" applyAlignment="1">
      <alignment horizontal="left" vertical="top" wrapText="1"/>
    </xf>
    <xf numFmtId="165" fontId="3" fillId="3" borderId="1" xfId="0" applyNumberFormat="1" applyFont="1" applyFill="1" applyBorder="1" applyAlignment="1">
      <alignment horizontal="right" vertical="top" wrapText="1"/>
    </xf>
    <xf numFmtId="0" fontId="8" fillId="6" borderId="1" xfId="0" applyFont="1" applyFill="1" applyBorder="1" applyAlignment="1">
      <alignment horizontal="center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9" fontId="3" fillId="3" borderId="1" xfId="0" applyNumberFormat="1" applyFont="1" applyFill="1" applyBorder="1" applyAlignment="1">
      <alignment horizontal="right" vertical="top" wrapText="1"/>
    </xf>
    <xf numFmtId="9" fontId="2" fillId="0" borderId="1" xfId="0" applyNumberFormat="1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/>
    </xf>
    <xf numFmtId="9" fontId="3" fillId="6" borderId="1" xfId="0" applyNumberFormat="1" applyFont="1" applyFill="1" applyBorder="1" applyAlignment="1">
      <alignment horizontal="right" vertical="top" wrapText="1"/>
    </xf>
    <xf numFmtId="165" fontId="9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8" fillId="0" borderId="1" xfId="0" applyFont="1" applyBorder="1" applyAlignment="1">
      <alignment horizontal="center" vertical="top" wrapText="1"/>
    </xf>
    <xf numFmtId="3" fontId="9" fillId="0" borderId="1" xfId="0" applyNumberFormat="1" applyFont="1" applyBorder="1" applyAlignment="1">
      <alignment horizontal="right" vertical="top" wrapText="1"/>
    </xf>
    <xf numFmtId="0" fontId="3" fillId="8" borderId="1" xfId="0" applyFont="1" applyFill="1" applyBorder="1" applyAlignment="1">
      <alignment horizontal="lef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2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10" fontId="9" fillId="0" borderId="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D9D9D9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Forma de ocurrencia de los accidentes – Argentina,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A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'Causas y riesgos'!$A$6:$A$9</c:f>
              <c:strCache>
                <c:ptCount val="4"/>
                <c:pt idx="0">
                  <c:v>Caídas de personas</c:v>
                </c:pt>
                <c:pt idx="1">
                  <c:v>Pisadas, choques o golpes por objetos</c:v>
                </c:pt>
                <c:pt idx="2">
                  <c:v>Esfuerzos excesivos</c:v>
                </c:pt>
                <c:pt idx="3">
                  <c:v>Otras formas</c:v>
                </c:pt>
              </c:strCache>
            </c:strRef>
          </c:cat>
          <c:val>
            <c:numRef>
              <c:f>'Causas y riesgos'!$B$6:$B$9</c:f>
              <c:numCache>
                <c:formatCode>0%</c:formatCode>
                <c:ptCount val="4"/>
                <c:pt idx="0">
                  <c:v>0.23</c:v>
                </c:pt>
                <c:pt idx="1">
                  <c:v>0.22</c:v>
                </c:pt>
                <c:pt idx="2">
                  <c:v>0.1</c:v>
                </c:pt>
                <c:pt idx="3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D-4DFC-A8B4-07CE0BC55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4534"/>
        <c:axId val="26014623"/>
      </c:barChart>
      <c:catAx>
        <c:axId val="1476453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Forma de ocurrencia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26014623"/>
        <c:crosses val="autoZero"/>
        <c:auto val="1"/>
        <c:lblAlgn val="ctr"/>
        <c:lblOffset val="100"/>
        <c:noMultiLvlLbl val="0"/>
      </c:catAx>
      <c:valAx>
        <c:axId val="26014623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Porcentaje del total de accidentes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147645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Gráfico 1. Índice de incidencia: industria manufacturera vs. total del sistema (Argentina)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Indicadores!$C$38</c:f>
              <c:strCache>
                <c:ptCount val="1"/>
                <c:pt idx="0">
                  <c:v>Industria manufacturera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A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Indicadores!$B$39:$B$41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2024</c:v>
                </c:pt>
              </c:strCache>
            </c:strRef>
          </c:cat>
          <c:val>
            <c:numRef>
              <c:f>Indicadores!$C$39:$C$41</c:f>
              <c:numCache>
                <c:formatCode>0.0</c:formatCode>
                <c:ptCount val="3"/>
                <c:pt idx="0">
                  <c:v>59.5</c:v>
                </c:pt>
                <c:pt idx="1">
                  <c:v>61.7</c:v>
                </c:pt>
                <c:pt idx="2">
                  <c:v>52.7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8-4EA8-AFC5-A31A09428B36}"/>
            </c:ext>
          </c:extLst>
        </c:ser>
        <c:ser>
          <c:idx val="1"/>
          <c:order val="1"/>
          <c:tx>
            <c:strRef>
              <c:f>Indicadores!$D$38</c:f>
              <c:strCache>
                <c:ptCount val="1"/>
                <c:pt idx="0">
                  <c:v>Total del sistema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A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Indicadores!$B$39:$B$41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2024</c:v>
                </c:pt>
              </c:strCache>
            </c:strRef>
          </c:cat>
          <c:val>
            <c:numRef>
              <c:f>Indicadores!$D$39:$D$41</c:f>
              <c:numCache>
                <c:formatCode>0.0</c:formatCode>
                <c:ptCount val="3"/>
                <c:pt idx="0">
                  <c:v>34.5</c:v>
                </c:pt>
                <c:pt idx="1">
                  <c:v>37.4</c:v>
                </c:pt>
                <c:pt idx="2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8-4EA8-AFC5-A31A09428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704259"/>
        <c:axId val="21897171"/>
      </c:barChart>
      <c:catAx>
        <c:axId val="647042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21897171"/>
        <c:crosses val="autoZero"/>
        <c:auto val="1"/>
        <c:lblAlgn val="ctr"/>
        <c:lblOffset val="100"/>
        <c:noMultiLvlLbl val="0"/>
      </c:catAx>
      <c:valAx>
        <c:axId val="2189717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Casos por mil trabajadores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647042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Gráfico 2. Misiones: casos en enero-junio de 2022 y 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Indicadores!$C$58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A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Indicadores!$B$59:$B$60</c:f>
              <c:strCache>
                <c:ptCount val="2"/>
                <c:pt idx="0">
                  <c:v>Ene-jun 2022</c:v>
                </c:pt>
                <c:pt idx="1">
                  <c:v>Ene-jun 2023</c:v>
                </c:pt>
              </c:strCache>
            </c:strRef>
          </c:cat>
          <c:val>
            <c:numRef>
              <c:f>Indicadores!$C$59:$C$60</c:f>
              <c:numCache>
                <c:formatCode>#,##0</c:formatCode>
                <c:ptCount val="2"/>
                <c:pt idx="0">
                  <c:v>3642</c:v>
                </c:pt>
                <c:pt idx="1">
                  <c:v>4031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F-4739-B2E5-92D0B1E63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80764"/>
        <c:axId val="15452233"/>
      </c:barChart>
      <c:catAx>
        <c:axId val="460807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Período (parcial: 6 meses)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15452233"/>
        <c:crosses val="autoZero"/>
        <c:auto val="1"/>
        <c:lblAlgn val="ctr"/>
        <c:lblOffset val="100"/>
        <c:noMultiLvlLbl val="0"/>
      </c:catAx>
      <c:valAx>
        <c:axId val="1545223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Casos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460807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Gráfico 3. Misiones: casos de mujeres trabajadoras, enero-septiembre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Indicadores!$C$78</c:f>
              <c:strCache>
                <c:ptCount val="1"/>
                <c:pt idx="0">
                  <c:v>Casos de mujeres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A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Indicadores!$B$79:$B$80</c:f>
              <c:strCache>
                <c:ptCount val="2"/>
                <c:pt idx="0">
                  <c:v>Ene-sep 2024</c:v>
                </c:pt>
                <c:pt idx="1">
                  <c:v>Ene-sep 2025</c:v>
                </c:pt>
              </c:strCache>
            </c:strRef>
          </c:cat>
          <c:val>
            <c:numRef>
              <c:f>Indicadores!$C$79:$C$80</c:f>
              <c:numCache>
                <c:formatCode>#,##0</c:formatCode>
                <c:ptCount val="2"/>
                <c:pt idx="0">
                  <c:v>829</c:v>
                </c:pt>
                <c:pt idx="1">
                  <c:v>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6-427D-87B8-167356545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480515"/>
        <c:axId val="7962823"/>
      </c:barChart>
      <c:catAx>
        <c:axId val="844805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Período (parcial: 9 meses)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7962823"/>
        <c:crosses val="autoZero"/>
        <c:auto val="1"/>
        <c:lblAlgn val="ctr"/>
        <c:lblOffset val="100"/>
        <c:noMultiLvlLbl val="0"/>
      </c:catAx>
      <c:valAx>
        <c:axId val="796282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Casos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844805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48240</xdr:rowOff>
    </xdr:from>
    <xdr:to>
      <xdr:col>2</xdr:col>
      <xdr:colOff>1545840</xdr:colOff>
      <xdr:row>42</xdr:row>
      <xdr:rowOff>70200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36</xdr:row>
      <xdr:rowOff>160560</xdr:rowOff>
    </xdr:from>
    <xdr:to>
      <xdr:col>8</xdr:col>
      <xdr:colOff>120600</xdr:colOff>
      <xdr:row>50</xdr:row>
      <xdr:rowOff>163800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56</xdr:row>
      <xdr:rowOff>160560</xdr:rowOff>
    </xdr:from>
    <xdr:to>
      <xdr:col>8</xdr:col>
      <xdr:colOff>120600</xdr:colOff>
      <xdr:row>70</xdr:row>
      <xdr:rowOff>163800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76</xdr:row>
      <xdr:rowOff>160560</xdr:rowOff>
    </xdr:from>
    <xdr:to>
      <xdr:col>8</xdr:col>
      <xdr:colOff>120600</xdr:colOff>
      <xdr:row>90</xdr:row>
      <xdr:rowOff>163800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B15"/>
  <sheetViews>
    <sheetView showGridLines="0" topLeftCell="A10" zoomScaleNormal="100" workbookViewId="0">
      <selection activeCell="B12" sqref="B12"/>
    </sheetView>
  </sheetViews>
  <sheetFormatPr baseColWidth="10" defaultColWidth="8.6640625" defaultRowHeight="14.4" x14ac:dyDescent="0.3"/>
  <cols>
    <col min="1" max="1" width="28" customWidth="1"/>
    <col min="2" max="2" width="100" customWidth="1"/>
  </cols>
  <sheetData>
    <row r="1" spans="1:2" ht="48" customHeight="1" x14ac:dyDescent="0.3">
      <c r="A1" s="7" t="s">
        <v>0</v>
      </c>
      <c r="B1" s="7"/>
    </row>
    <row r="3" spans="1:2" ht="45" customHeight="1" x14ac:dyDescent="0.3">
      <c r="A3" s="8" t="s">
        <v>1</v>
      </c>
      <c r="B3" s="9" t="s">
        <v>0</v>
      </c>
    </row>
    <row r="4" spans="1:2" ht="45" customHeight="1" x14ac:dyDescent="0.3">
      <c r="A4" s="8" t="s">
        <v>2</v>
      </c>
      <c r="B4" s="9" t="s">
        <v>3</v>
      </c>
    </row>
    <row r="5" spans="1:2" x14ac:dyDescent="0.3">
      <c r="A5" s="8" t="s">
        <v>4</v>
      </c>
      <c r="B5" s="9" t="s">
        <v>308</v>
      </c>
    </row>
    <row r="6" spans="1:2" ht="45" customHeight="1" x14ac:dyDescent="0.3">
      <c r="A6" s="8" t="s">
        <v>5</v>
      </c>
      <c r="B6" s="9" t="s">
        <v>6</v>
      </c>
    </row>
    <row r="7" spans="1:2" x14ac:dyDescent="0.3">
      <c r="A7" s="8" t="s">
        <v>7</v>
      </c>
      <c r="B7" s="9" t="s">
        <v>8</v>
      </c>
    </row>
    <row r="8" spans="1:2" x14ac:dyDescent="0.3">
      <c r="A8" s="8" t="s">
        <v>9</v>
      </c>
      <c r="B8" s="9" t="s">
        <v>309</v>
      </c>
    </row>
    <row r="9" spans="1:2" x14ac:dyDescent="0.3">
      <c r="A9" s="8" t="s">
        <v>10</v>
      </c>
      <c r="B9" s="9" t="s">
        <v>11</v>
      </c>
    </row>
    <row r="10" spans="1:2" ht="330" customHeight="1" x14ac:dyDescent="0.3">
      <c r="A10" s="8"/>
      <c r="B10" s="9"/>
    </row>
    <row r="11" spans="1:2" ht="18" customHeight="1" x14ac:dyDescent="0.3">
      <c r="A11" s="8" t="s">
        <v>12</v>
      </c>
      <c r="B11" s="10" t="s">
        <v>13</v>
      </c>
    </row>
    <row r="12" spans="1:2" x14ac:dyDescent="0.3">
      <c r="B12" s="11" t="s">
        <v>14</v>
      </c>
    </row>
    <row r="13" spans="1:2" x14ac:dyDescent="0.3">
      <c r="B13" s="12" t="s">
        <v>15</v>
      </c>
    </row>
    <row r="14" spans="1:2" x14ac:dyDescent="0.3">
      <c r="B14" s="13" t="s">
        <v>16</v>
      </c>
    </row>
    <row r="15" spans="1:2" x14ac:dyDescent="0.3">
      <c r="B15" s="9" t="s">
        <v>17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L25"/>
  <sheetViews>
    <sheetView showGridLines="0" zoomScaleNormal="100" workbookViewId="0">
      <pane xSplit="4" ySplit="5" topLeftCell="J6" activePane="bottomRight" state="frozen"/>
      <selection pane="topRight" activeCell="E1" sqref="E1"/>
      <selection pane="bottomLeft" activeCell="A6" sqref="A6"/>
      <selection pane="bottomRight" activeCell="A3" sqref="A3:L3"/>
    </sheetView>
  </sheetViews>
  <sheetFormatPr baseColWidth="10" defaultColWidth="8.6640625" defaultRowHeight="14.4" x14ac:dyDescent="0.3"/>
  <cols>
    <col min="1" max="1" width="12" customWidth="1"/>
    <col min="2" max="2" width="24" customWidth="1"/>
    <col min="3" max="3" width="22" customWidth="1"/>
    <col min="4" max="4" width="32" customWidth="1"/>
    <col min="5" max="5" width="22" customWidth="1"/>
    <col min="6" max="6" width="16" customWidth="1"/>
    <col min="7" max="7" width="22" customWidth="1"/>
    <col min="8" max="8" width="26" customWidth="1"/>
    <col min="9" max="9" width="32" customWidth="1"/>
    <col min="10" max="11" width="22" customWidth="1"/>
    <col min="12" max="12" width="52" customWidth="1"/>
  </cols>
  <sheetData>
    <row r="1" spans="1:12" ht="17.399999999999999" x14ac:dyDescent="0.3">
      <c r="A1" s="14" t="s">
        <v>18</v>
      </c>
    </row>
    <row r="2" spans="1:12" x14ac:dyDescent="0.3">
      <c r="A2" s="15"/>
    </row>
    <row r="3" spans="1:12" ht="31.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5" spans="1:12" ht="31.5" customHeight="1" x14ac:dyDescent="0.3">
      <c r="A5" s="16" t="s">
        <v>19</v>
      </c>
      <c r="B5" s="16" t="s">
        <v>20</v>
      </c>
      <c r="C5" s="16" t="s">
        <v>21</v>
      </c>
      <c r="D5" s="16" t="s">
        <v>22</v>
      </c>
      <c r="E5" s="16" t="s">
        <v>23</v>
      </c>
      <c r="F5" s="16" t="s">
        <v>24</v>
      </c>
      <c r="G5" s="16" t="s">
        <v>25</v>
      </c>
      <c r="H5" s="16" t="s">
        <v>26</v>
      </c>
      <c r="I5" s="16" t="s">
        <v>27</v>
      </c>
      <c r="J5" s="16" t="s">
        <v>28</v>
      </c>
      <c r="K5" s="16" t="s">
        <v>29</v>
      </c>
      <c r="L5" s="16" t="s">
        <v>30</v>
      </c>
    </row>
    <row r="6" spans="1:12" ht="39.6" x14ac:dyDescent="0.3">
      <c r="A6" s="9" t="s">
        <v>31</v>
      </c>
      <c r="B6" s="9" t="s">
        <v>32</v>
      </c>
      <c r="C6" s="9" t="s">
        <v>33</v>
      </c>
      <c r="D6" s="9" t="s">
        <v>34</v>
      </c>
      <c r="E6" s="17">
        <v>3642</v>
      </c>
      <c r="F6" s="9" t="s">
        <v>35</v>
      </c>
      <c r="G6" s="9" t="s">
        <v>36</v>
      </c>
      <c r="H6" s="9" t="s">
        <v>37</v>
      </c>
      <c r="I6" s="9" t="s">
        <v>38</v>
      </c>
      <c r="J6" s="13" t="s">
        <v>39</v>
      </c>
      <c r="K6" s="12" t="s">
        <v>40</v>
      </c>
      <c r="L6" s="9" t="s">
        <v>41</v>
      </c>
    </row>
    <row r="7" spans="1:12" ht="39.6" x14ac:dyDescent="0.3">
      <c r="A7" s="9" t="s">
        <v>42</v>
      </c>
      <c r="B7" s="9" t="s">
        <v>43</v>
      </c>
      <c r="C7" s="9" t="s">
        <v>33</v>
      </c>
      <c r="D7" s="9" t="s">
        <v>44</v>
      </c>
      <c r="E7" s="18">
        <v>4031</v>
      </c>
      <c r="F7" s="9" t="s">
        <v>45</v>
      </c>
      <c r="G7" s="9" t="s">
        <v>36</v>
      </c>
      <c r="H7" s="9" t="s">
        <v>37</v>
      </c>
      <c r="I7" s="9" t="s">
        <v>46</v>
      </c>
      <c r="J7" s="13" t="s">
        <v>39</v>
      </c>
      <c r="K7" s="11" t="s">
        <v>47</v>
      </c>
      <c r="L7" s="9" t="s">
        <v>48</v>
      </c>
    </row>
    <row r="8" spans="1:12" ht="39.6" x14ac:dyDescent="0.3">
      <c r="A8" s="9" t="s">
        <v>49</v>
      </c>
      <c r="B8" s="9" t="s">
        <v>50</v>
      </c>
      <c r="C8" s="9" t="s">
        <v>51</v>
      </c>
      <c r="D8" s="9" t="s">
        <v>34</v>
      </c>
      <c r="E8" s="17">
        <v>5258</v>
      </c>
      <c r="F8" s="9" t="s">
        <v>35</v>
      </c>
      <c r="G8" s="9" t="s">
        <v>36</v>
      </c>
      <c r="H8" s="9" t="s">
        <v>37</v>
      </c>
      <c r="I8" s="9" t="s">
        <v>52</v>
      </c>
      <c r="J8" s="13" t="s">
        <v>39</v>
      </c>
      <c r="K8" s="12" t="s">
        <v>40</v>
      </c>
      <c r="L8" s="9" t="s">
        <v>53</v>
      </c>
    </row>
    <row r="9" spans="1:12" ht="39.6" x14ac:dyDescent="0.3">
      <c r="A9" s="9" t="s">
        <v>54</v>
      </c>
      <c r="B9" s="9" t="s">
        <v>55</v>
      </c>
      <c r="C9" s="9" t="s">
        <v>56</v>
      </c>
      <c r="D9" s="9" t="s">
        <v>34</v>
      </c>
      <c r="E9" s="17">
        <v>5525</v>
      </c>
      <c r="F9" s="9" t="s">
        <v>35</v>
      </c>
      <c r="G9" s="9" t="s">
        <v>36</v>
      </c>
      <c r="H9" s="9" t="s">
        <v>37</v>
      </c>
      <c r="I9" s="9" t="s">
        <v>52</v>
      </c>
      <c r="J9" s="13" t="s">
        <v>39</v>
      </c>
      <c r="K9" s="12" t="s">
        <v>40</v>
      </c>
      <c r="L9" s="9" t="s">
        <v>57</v>
      </c>
    </row>
    <row r="10" spans="1:12" ht="39.6" x14ac:dyDescent="0.3">
      <c r="A10" s="9" t="s">
        <v>49</v>
      </c>
      <c r="B10" s="9" t="s">
        <v>58</v>
      </c>
      <c r="C10" s="9" t="s">
        <v>56</v>
      </c>
      <c r="D10" s="9" t="s">
        <v>59</v>
      </c>
      <c r="E10" s="17">
        <v>829</v>
      </c>
      <c r="F10" s="9" t="s">
        <v>35</v>
      </c>
      <c r="G10" s="9" t="s">
        <v>36</v>
      </c>
      <c r="H10" s="9" t="s">
        <v>37</v>
      </c>
      <c r="I10" s="9" t="s">
        <v>52</v>
      </c>
      <c r="J10" s="13" t="s">
        <v>39</v>
      </c>
      <c r="K10" s="12" t="s">
        <v>40</v>
      </c>
      <c r="L10" s="9" t="s">
        <v>60</v>
      </c>
    </row>
    <row r="11" spans="1:12" ht="39.6" x14ac:dyDescent="0.3">
      <c r="A11" s="9" t="s">
        <v>54</v>
      </c>
      <c r="B11" s="9" t="s">
        <v>55</v>
      </c>
      <c r="C11" s="9" t="s">
        <v>56</v>
      </c>
      <c r="D11" s="9" t="s">
        <v>59</v>
      </c>
      <c r="E11" s="17">
        <v>986</v>
      </c>
      <c r="F11" s="9" t="s">
        <v>35</v>
      </c>
      <c r="G11" s="9" t="s">
        <v>36</v>
      </c>
      <c r="H11" s="9" t="s">
        <v>37</v>
      </c>
      <c r="I11" s="9" t="s">
        <v>52</v>
      </c>
      <c r="J11" s="13" t="s">
        <v>39</v>
      </c>
      <c r="K11" s="12" t="s">
        <v>40</v>
      </c>
      <c r="L11" s="9" t="s">
        <v>61</v>
      </c>
    </row>
    <row r="12" spans="1:12" ht="39.6" x14ac:dyDescent="0.3">
      <c r="A12" s="9" t="s">
        <v>54</v>
      </c>
      <c r="B12" s="9" t="s">
        <v>55</v>
      </c>
      <c r="C12" s="9" t="s">
        <v>56</v>
      </c>
      <c r="D12" s="9" t="s">
        <v>62</v>
      </c>
      <c r="E12" s="17">
        <v>856</v>
      </c>
      <c r="F12" s="9" t="s">
        <v>35</v>
      </c>
      <c r="G12" s="9" t="s">
        <v>36</v>
      </c>
      <c r="H12" s="9" t="s">
        <v>37</v>
      </c>
      <c r="I12" s="9" t="s">
        <v>52</v>
      </c>
      <c r="J12" s="13" t="s">
        <v>39</v>
      </c>
      <c r="K12" s="12" t="s">
        <v>40</v>
      </c>
      <c r="L12" s="9" t="s">
        <v>63</v>
      </c>
    </row>
    <row r="13" spans="1:12" ht="39.6" x14ac:dyDescent="0.3">
      <c r="A13" s="9" t="s">
        <v>64</v>
      </c>
      <c r="B13" s="9" t="s">
        <v>65</v>
      </c>
      <c r="C13" s="9" t="s">
        <v>66</v>
      </c>
      <c r="D13" s="9" t="s">
        <v>67</v>
      </c>
      <c r="E13" s="19">
        <v>6.9000000000000006E-2</v>
      </c>
      <c r="F13" s="9" t="s">
        <v>68</v>
      </c>
      <c r="G13" s="9" t="s">
        <v>36</v>
      </c>
      <c r="H13" s="9" t="s">
        <v>37</v>
      </c>
      <c r="I13" s="9" t="s">
        <v>52</v>
      </c>
      <c r="J13" s="13" t="s">
        <v>39</v>
      </c>
      <c r="K13" s="12" t="s">
        <v>40</v>
      </c>
      <c r="L13" s="9" t="s">
        <v>69</v>
      </c>
    </row>
    <row r="14" spans="1:12" ht="52.8" x14ac:dyDescent="0.3">
      <c r="A14" s="9" t="s">
        <v>70</v>
      </c>
      <c r="B14" s="9" t="s">
        <v>71</v>
      </c>
      <c r="C14" s="9" t="s">
        <v>72</v>
      </c>
      <c r="D14" s="9" t="s">
        <v>73</v>
      </c>
      <c r="E14" s="19">
        <v>0.28299999999999997</v>
      </c>
      <c r="F14" s="9" t="s">
        <v>68</v>
      </c>
      <c r="G14" s="9" t="s">
        <v>36</v>
      </c>
      <c r="H14" s="9" t="s">
        <v>37</v>
      </c>
      <c r="I14" s="9" t="s">
        <v>52</v>
      </c>
      <c r="J14" s="13" t="s">
        <v>39</v>
      </c>
      <c r="K14" s="12" t="s">
        <v>40</v>
      </c>
      <c r="L14" s="9" t="s">
        <v>74</v>
      </c>
    </row>
    <row r="15" spans="1:12" ht="39.6" x14ac:dyDescent="0.3">
      <c r="A15" s="9" t="s">
        <v>64</v>
      </c>
      <c r="B15" s="9" t="s">
        <v>75</v>
      </c>
      <c r="C15" s="9" t="s">
        <v>76</v>
      </c>
      <c r="D15" s="9" t="s">
        <v>77</v>
      </c>
      <c r="E15" s="19">
        <v>5.0999999999999997E-2</v>
      </c>
      <c r="F15" s="9" t="s">
        <v>68</v>
      </c>
      <c r="G15" s="9" t="s">
        <v>36</v>
      </c>
      <c r="H15" s="9" t="s">
        <v>37</v>
      </c>
      <c r="I15" s="9" t="s">
        <v>52</v>
      </c>
      <c r="J15" s="13" t="s">
        <v>39</v>
      </c>
      <c r="K15" s="12" t="s">
        <v>40</v>
      </c>
      <c r="L15" s="9" t="s">
        <v>78</v>
      </c>
    </row>
    <row r="16" spans="1:12" ht="26.4" x14ac:dyDescent="0.3">
      <c r="A16" s="13" t="s">
        <v>79</v>
      </c>
      <c r="B16" s="13" t="s">
        <v>80</v>
      </c>
      <c r="C16" s="13" t="s">
        <v>81</v>
      </c>
      <c r="D16" s="13" t="s">
        <v>82</v>
      </c>
      <c r="E16" s="13" t="s">
        <v>39</v>
      </c>
      <c r="F16" s="13" t="s">
        <v>83</v>
      </c>
      <c r="G16" s="13" t="s">
        <v>36</v>
      </c>
      <c r="H16" s="13" t="s">
        <v>83</v>
      </c>
      <c r="I16" s="13" t="s">
        <v>83</v>
      </c>
      <c r="J16" s="13" t="s">
        <v>39</v>
      </c>
      <c r="K16" s="13" t="s">
        <v>84</v>
      </c>
      <c r="L16" s="13" t="s">
        <v>85</v>
      </c>
    </row>
    <row r="17" spans="1:12" ht="26.4" x14ac:dyDescent="0.3">
      <c r="A17" s="13" t="s">
        <v>31</v>
      </c>
      <c r="B17" s="13" t="s">
        <v>86</v>
      </c>
      <c r="C17" s="13" t="s">
        <v>81</v>
      </c>
      <c r="D17" s="13" t="s">
        <v>82</v>
      </c>
      <c r="E17" s="13" t="s">
        <v>39</v>
      </c>
      <c r="F17" s="13" t="s">
        <v>83</v>
      </c>
      <c r="G17" s="13" t="s">
        <v>36</v>
      </c>
      <c r="H17" s="13" t="s">
        <v>83</v>
      </c>
      <c r="I17" s="13" t="s">
        <v>83</v>
      </c>
      <c r="J17" s="13" t="s">
        <v>39</v>
      </c>
      <c r="K17" s="13" t="s">
        <v>84</v>
      </c>
      <c r="L17" s="13" t="s">
        <v>87</v>
      </c>
    </row>
    <row r="18" spans="1:12" ht="26.4" x14ac:dyDescent="0.3">
      <c r="A18" s="13" t="s">
        <v>42</v>
      </c>
      <c r="B18" s="13" t="s">
        <v>88</v>
      </c>
      <c r="C18" s="13" t="s">
        <v>81</v>
      </c>
      <c r="D18" s="13" t="s">
        <v>82</v>
      </c>
      <c r="E18" s="13" t="s">
        <v>39</v>
      </c>
      <c r="F18" s="13" t="s">
        <v>83</v>
      </c>
      <c r="G18" s="13" t="s">
        <v>36</v>
      </c>
      <c r="H18" s="13" t="s">
        <v>83</v>
      </c>
      <c r="I18" s="13" t="s">
        <v>83</v>
      </c>
      <c r="J18" s="13" t="s">
        <v>39</v>
      </c>
      <c r="K18" s="13" t="s">
        <v>84</v>
      </c>
      <c r="L18" s="13" t="s">
        <v>89</v>
      </c>
    </row>
    <row r="19" spans="1:12" ht="26.4" x14ac:dyDescent="0.3">
      <c r="A19" s="13" t="s">
        <v>49</v>
      </c>
      <c r="B19" s="13" t="s">
        <v>58</v>
      </c>
      <c r="C19" s="13" t="s">
        <v>56</v>
      </c>
      <c r="D19" s="13" t="s">
        <v>82</v>
      </c>
      <c r="E19" s="13" t="s">
        <v>39</v>
      </c>
      <c r="F19" s="13" t="s">
        <v>83</v>
      </c>
      <c r="G19" s="13" t="s">
        <v>36</v>
      </c>
      <c r="H19" s="13" t="s">
        <v>83</v>
      </c>
      <c r="I19" s="13" t="s">
        <v>83</v>
      </c>
      <c r="J19" s="13" t="s">
        <v>39</v>
      </c>
      <c r="K19" s="13" t="s">
        <v>84</v>
      </c>
      <c r="L19" s="13" t="s">
        <v>90</v>
      </c>
    </row>
    <row r="20" spans="1:12" ht="26.4" x14ac:dyDescent="0.3">
      <c r="A20" s="13" t="s">
        <v>54</v>
      </c>
      <c r="B20" s="13" t="s">
        <v>91</v>
      </c>
      <c r="C20" s="13" t="s">
        <v>81</v>
      </c>
      <c r="D20" s="13" t="s">
        <v>82</v>
      </c>
      <c r="E20" s="13" t="s">
        <v>39</v>
      </c>
      <c r="F20" s="13" t="s">
        <v>83</v>
      </c>
      <c r="G20" s="13" t="s">
        <v>36</v>
      </c>
      <c r="H20" s="13" t="s">
        <v>83</v>
      </c>
      <c r="I20" s="13" t="s">
        <v>83</v>
      </c>
      <c r="J20" s="13" t="s">
        <v>39</v>
      </c>
      <c r="K20" s="13" t="s">
        <v>84</v>
      </c>
      <c r="L20" s="13" t="s">
        <v>92</v>
      </c>
    </row>
    <row r="21" spans="1:12" ht="26.4" x14ac:dyDescent="0.3">
      <c r="A21" s="13" t="s">
        <v>93</v>
      </c>
      <c r="B21" s="13" t="s">
        <v>94</v>
      </c>
      <c r="C21" s="13" t="s">
        <v>83</v>
      </c>
      <c r="D21" s="13" t="s">
        <v>95</v>
      </c>
      <c r="E21" s="13" t="s">
        <v>39</v>
      </c>
      <c r="F21" s="13" t="s">
        <v>83</v>
      </c>
      <c r="G21" s="13" t="s">
        <v>36</v>
      </c>
      <c r="H21" s="13" t="s">
        <v>83</v>
      </c>
      <c r="I21" s="13" t="s">
        <v>83</v>
      </c>
      <c r="J21" s="13" t="s">
        <v>39</v>
      </c>
      <c r="K21" s="13" t="s">
        <v>84</v>
      </c>
      <c r="L21" s="13" t="s">
        <v>96</v>
      </c>
    </row>
    <row r="22" spans="1:12" ht="26.4" x14ac:dyDescent="0.3">
      <c r="A22" s="13" t="s">
        <v>93</v>
      </c>
      <c r="B22" s="13" t="s">
        <v>94</v>
      </c>
      <c r="C22" s="13" t="s">
        <v>83</v>
      </c>
      <c r="D22" s="13" t="s">
        <v>97</v>
      </c>
      <c r="E22" s="13" t="s">
        <v>39</v>
      </c>
      <c r="F22" s="13" t="s">
        <v>83</v>
      </c>
      <c r="G22" s="13" t="s">
        <v>36</v>
      </c>
      <c r="H22" s="13" t="s">
        <v>83</v>
      </c>
      <c r="I22" s="13" t="s">
        <v>83</v>
      </c>
      <c r="J22" s="13" t="s">
        <v>39</v>
      </c>
      <c r="K22" s="13" t="s">
        <v>84</v>
      </c>
      <c r="L22" s="13" t="s">
        <v>98</v>
      </c>
    </row>
    <row r="23" spans="1:12" ht="26.4" x14ac:dyDescent="0.3">
      <c r="A23" s="13" t="s">
        <v>93</v>
      </c>
      <c r="B23" s="13" t="s">
        <v>94</v>
      </c>
      <c r="C23" s="13" t="s">
        <v>83</v>
      </c>
      <c r="D23" s="13" t="s">
        <v>99</v>
      </c>
      <c r="E23" s="13" t="s">
        <v>39</v>
      </c>
      <c r="F23" s="13" t="s">
        <v>83</v>
      </c>
      <c r="G23" s="13" t="s">
        <v>36</v>
      </c>
      <c r="H23" s="13" t="s">
        <v>83</v>
      </c>
      <c r="I23" s="13" t="s">
        <v>83</v>
      </c>
      <c r="J23" s="13" t="s">
        <v>39</v>
      </c>
      <c r="K23" s="13" t="s">
        <v>84</v>
      </c>
      <c r="L23" s="13" t="s">
        <v>100</v>
      </c>
    </row>
    <row r="24" spans="1:12" ht="26.4" x14ac:dyDescent="0.3">
      <c r="A24" s="13" t="s">
        <v>93</v>
      </c>
      <c r="B24" s="13" t="s">
        <v>94</v>
      </c>
      <c r="C24" s="13" t="s">
        <v>83</v>
      </c>
      <c r="D24" s="13" t="s">
        <v>101</v>
      </c>
      <c r="E24" s="13" t="s">
        <v>39</v>
      </c>
      <c r="F24" s="13" t="s">
        <v>83</v>
      </c>
      <c r="G24" s="13" t="s">
        <v>36</v>
      </c>
      <c r="H24" s="13" t="s">
        <v>83</v>
      </c>
      <c r="I24" s="13" t="s">
        <v>83</v>
      </c>
      <c r="J24" s="13" t="s">
        <v>39</v>
      </c>
      <c r="K24" s="13" t="s">
        <v>84</v>
      </c>
      <c r="L24" s="13" t="s">
        <v>102</v>
      </c>
    </row>
    <row r="25" spans="1:12" ht="26.4" x14ac:dyDescent="0.3">
      <c r="A25" s="13" t="s">
        <v>93</v>
      </c>
      <c r="B25" s="13" t="s">
        <v>94</v>
      </c>
      <c r="C25" s="13" t="s">
        <v>83</v>
      </c>
      <c r="D25" s="13" t="s">
        <v>103</v>
      </c>
      <c r="E25" s="13" t="s">
        <v>39</v>
      </c>
      <c r="F25" s="13" t="s">
        <v>83</v>
      </c>
      <c r="G25" s="13" t="s">
        <v>36</v>
      </c>
      <c r="H25" s="13" t="s">
        <v>83</v>
      </c>
      <c r="I25" s="13" t="s">
        <v>83</v>
      </c>
      <c r="J25" s="13" t="s">
        <v>39</v>
      </c>
      <c r="K25" s="13" t="s">
        <v>84</v>
      </c>
      <c r="L25" s="13" t="s">
        <v>104</v>
      </c>
    </row>
  </sheetData>
  <autoFilter ref="A5:L25" xr:uid="{00000000-0009-0000-0000-000001000000}"/>
  <mergeCells count="1"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J13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baseColWidth="10" defaultColWidth="8.6640625" defaultRowHeight="14.4" x14ac:dyDescent="0.3"/>
  <cols>
    <col min="1" max="1" width="44" customWidth="1"/>
    <col min="2" max="2" width="20" customWidth="1"/>
    <col min="3" max="7" width="16" customWidth="1"/>
    <col min="8" max="8" width="36" customWidth="1"/>
    <col min="9" max="9" width="24" customWidth="1"/>
    <col min="10" max="10" width="48" customWidth="1"/>
  </cols>
  <sheetData>
    <row r="1" spans="1:10" ht="17.399999999999999" x14ac:dyDescent="0.3">
      <c r="A1" s="14" t="s">
        <v>105</v>
      </c>
    </row>
    <row r="2" spans="1:10" x14ac:dyDescent="0.3">
      <c r="A2" s="15"/>
    </row>
    <row r="3" spans="1:10" ht="27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</row>
    <row r="5" spans="1:10" ht="31.5" customHeight="1" x14ac:dyDescent="0.3">
      <c r="A5" s="16" t="s">
        <v>22</v>
      </c>
      <c r="B5" s="16" t="s">
        <v>24</v>
      </c>
      <c r="C5" s="16" t="s">
        <v>79</v>
      </c>
      <c r="D5" s="16" t="s">
        <v>31</v>
      </c>
      <c r="E5" s="16" t="s">
        <v>42</v>
      </c>
      <c r="F5" s="16" t="s">
        <v>49</v>
      </c>
      <c r="G5" s="16" t="s">
        <v>54</v>
      </c>
      <c r="H5" s="16" t="s">
        <v>27</v>
      </c>
      <c r="I5" s="16" t="s">
        <v>106</v>
      </c>
      <c r="J5" s="16" t="s">
        <v>30</v>
      </c>
    </row>
    <row r="6" spans="1:10" ht="42" customHeight="1" x14ac:dyDescent="0.3">
      <c r="A6" s="20" t="s">
        <v>107</v>
      </c>
      <c r="B6" s="9" t="s">
        <v>108</v>
      </c>
      <c r="C6" s="21">
        <v>59.5</v>
      </c>
      <c r="D6" s="21">
        <v>61.7</v>
      </c>
      <c r="E6" s="22" t="s">
        <v>39</v>
      </c>
      <c r="F6" s="21">
        <v>52.7</v>
      </c>
      <c r="G6" s="22" t="s">
        <v>39</v>
      </c>
      <c r="H6" s="9" t="s">
        <v>109</v>
      </c>
      <c r="I6" s="10" t="s">
        <v>110</v>
      </c>
      <c r="J6" s="9" t="s">
        <v>111</v>
      </c>
    </row>
    <row r="7" spans="1:10" ht="42" customHeight="1" x14ac:dyDescent="0.3">
      <c r="A7" s="20" t="s">
        <v>112</v>
      </c>
      <c r="B7" s="9" t="s">
        <v>113</v>
      </c>
      <c r="C7" s="23">
        <v>54</v>
      </c>
      <c r="D7" s="23">
        <v>57</v>
      </c>
      <c r="E7" s="22" t="s">
        <v>39</v>
      </c>
      <c r="F7" s="22" t="s">
        <v>39</v>
      </c>
      <c r="G7" s="22" t="s">
        <v>39</v>
      </c>
      <c r="H7" s="9" t="s">
        <v>109</v>
      </c>
      <c r="I7" s="10" t="s">
        <v>110</v>
      </c>
      <c r="J7" s="9" t="s">
        <v>114</v>
      </c>
    </row>
    <row r="8" spans="1:10" ht="42" customHeight="1" x14ac:dyDescent="0.3">
      <c r="A8" s="20" t="s">
        <v>44</v>
      </c>
      <c r="B8" s="9" t="s">
        <v>35</v>
      </c>
      <c r="C8" s="23">
        <v>75110</v>
      </c>
      <c r="D8" s="23">
        <v>82967</v>
      </c>
      <c r="E8" s="22" t="s">
        <v>39</v>
      </c>
      <c r="F8" s="22" t="s">
        <v>39</v>
      </c>
      <c r="G8" s="22" t="s">
        <v>39</v>
      </c>
      <c r="H8" s="9" t="s">
        <v>109</v>
      </c>
      <c r="I8" s="10" t="s">
        <v>110</v>
      </c>
      <c r="J8" s="9" t="s">
        <v>115</v>
      </c>
    </row>
    <row r="9" spans="1:10" ht="42" customHeight="1" x14ac:dyDescent="0.3">
      <c r="A9" s="20" t="s">
        <v>116</v>
      </c>
      <c r="B9" s="9" t="s">
        <v>35</v>
      </c>
      <c r="C9" s="23">
        <v>67134</v>
      </c>
      <c r="D9" s="23">
        <v>72708</v>
      </c>
      <c r="E9" s="22" t="s">
        <v>39</v>
      </c>
      <c r="F9" s="22" t="s">
        <v>39</v>
      </c>
      <c r="G9" s="22" t="s">
        <v>39</v>
      </c>
      <c r="H9" s="9" t="s">
        <v>109</v>
      </c>
      <c r="I9" s="10" t="s">
        <v>110</v>
      </c>
      <c r="J9" s="9" t="s">
        <v>117</v>
      </c>
    </row>
    <row r="10" spans="1:10" ht="42" customHeight="1" x14ac:dyDescent="0.3">
      <c r="A10" s="20" t="s">
        <v>118</v>
      </c>
      <c r="B10" s="9" t="s">
        <v>119</v>
      </c>
      <c r="C10" s="23">
        <v>1128258</v>
      </c>
      <c r="D10" s="23">
        <v>1178397</v>
      </c>
      <c r="E10" s="22" t="s">
        <v>39</v>
      </c>
      <c r="F10" s="22" t="s">
        <v>39</v>
      </c>
      <c r="G10" s="22" t="s">
        <v>39</v>
      </c>
      <c r="H10" s="9" t="s">
        <v>109</v>
      </c>
      <c r="I10" s="10" t="s">
        <v>110</v>
      </c>
      <c r="J10" s="9" t="s">
        <v>120</v>
      </c>
    </row>
    <row r="11" spans="1:10" ht="42" customHeight="1" x14ac:dyDescent="0.3">
      <c r="A11" s="20" t="s">
        <v>121</v>
      </c>
      <c r="B11" s="9" t="s">
        <v>122</v>
      </c>
      <c r="C11" s="22" t="s">
        <v>39</v>
      </c>
      <c r="D11" s="21">
        <v>37.4</v>
      </c>
      <c r="E11" s="22" t="s">
        <v>39</v>
      </c>
      <c r="F11" s="22" t="s">
        <v>39</v>
      </c>
      <c r="G11" s="22" t="s">
        <v>39</v>
      </c>
      <c r="H11" s="9" t="s">
        <v>109</v>
      </c>
      <c r="I11" s="10" t="s">
        <v>110</v>
      </c>
      <c r="J11" s="9" t="s">
        <v>123</v>
      </c>
    </row>
    <row r="13" spans="1:10" ht="30" customHeight="1" x14ac:dyDescent="0.3">
      <c r="A13" s="6" t="s">
        <v>124</v>
      </c>
      <c r="B13" s="6"/>
      <c r="C13" s="6"/>
      <c r="D13" s="6"/>
      <c r="E13" s="6"/>
      <c r="F13" s="6"/>
      <c r="G13" s="6"/>
      <c r="H13" s="6"/>
      <c r="I13" s="6"/>
      <c r="J13" s="6"/>
    </row>
  </sheetData>
  <autoFilter ref="A5:J11" xr:uid="{00000000-0009-0000-0000-000002000000}"/>
  <mergeCells count="2">
    <mergeCell ref="A3:J3"/>
    <mergeCell ref="A13:J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J1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:J3"/>
    </sheetView>
  </sheetViews>
  <sheetFormatPr baseColWidth="10" defaultColWidth="8.6640625" defaultRowHeight="14.4" x14ac:dyDescent="0.3"/>
  <cols>
    <col min="1" max="1" width="44" customWidth="1"/>
    <col min="2" max="2" width="22" customWidth="1"/>
    <col min="3" max="7" width="16" customWidth="1"/>
    <col min="8" max="8" width="36" customWidth="1"/>
    <col min="9" max="9" width="24" customWidth="1"/>
    <col min="10" max="10" width="40" customWidth="1"/>
  </cols>
  <sheetData>
    <row r="1" spans="1:10" ht="17.399999999999999" x14ac:dyDescent="0.3">
      <c r="A1" s="14" t="s">
        <v>125</v>
      </c>
    </row>
    <row r="2" spans="1:10" x14ac:dyDescent="0.3">
      <c r="A2" s="15"/>
    </row>
    <row r="3" spans="1:10" ht="19.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</row>
    <row r="5" spans="1:10" ht="31.5" customHeight="1" x14ac:dyDescent="0.3">
      <c r="A5" s="16" t="s">
        <v>22</v>
      </c>
      <c r="B5" s="16" t="s">
        <v>24</v>
      </c>
      <c r="C5" s="16" t="s">
        <v>79</v>
      </c>
      <c r="D5" s="16" t="s">
        <v>31</v>
      </c>
      <c r="E5" s="16" t="s">
        <v>42</v>
      </c>
      <c r="F5" s="16" t="s">
        <v>49</v>
      </c>
      <c r="G5" s="16" t="s">
        <v>54</v>
      </c>
      <c r="H5" s="16" t="s">
        <v>27</v>
      </c>
      <c r="I5" s="16" t="s">
        <v>106</v>
      </c>
      <c r="J5" s="16" t="s">
        <v>30</v>
      </c>
    </row>
    <row r="6" spans="1:10" ht="42" customHeight="1" x14ac:dyDescent="0.3">
      <c r="A6" s="20" t="s">
        <v>126</v>
      </c>
      <c r="B6" s="9" t="s">
        <v>108</v>
      </c>
      <c r="C6" s="21">
        <v>34.5</v>
      </c>
      <c r="D6" s="21">
        <v>37.4</v>
      </c>
      <c r="E6" s="22" t="s">
        <v>39</v>
      </c>
      <c r="F6" s="21">
        <v>33.299999999999997</v>
      </c>
      <c r="G6" s="22" t="s">
        <v>39</v>
      </c>
      <c r="H6" s="9" t="s">
        <v>109</v>
      </c>
      <c r="I6" s="10" t="s">
        <v>110</v>
      </c>
      <c r="J6" s="9" t="s">
        <v>127</v>
      </c>
    </row>
    <row r="7" spans="1:10" ht="42" customHeight="1" x14ac:dyDescent="0.3">
      <c r="A7" s="20" t="s">
        <v>118</v>
      </c>
      <c r="B7" s="9" t="s">
        <v>119</v>
      </c>
      <c r="C7" s="23">
        <v>9075494</v>
      </c>
      <c r="D7" s="23">
        <v>9489169</v>
      </c>
      <c r="E7" s="22" t="s">
        <v>39</v>
      </c>
      <c r="F7" s="23">
        <v>9656664</v>
      </c>
      <c r="G7" s="22" t="s">
        <v>39</v>
      </c>
      <c r="H7" s="9" t="s">
        <v>109</v>
      </c>
      <c r="I7" s="10" t="s">
        <v>110</v>
      </c>
      <c r="J7" s="9"/>
    </row>
    <row r="8" spans="1:10" ht="42" customHeight="1" x14ac:dyDescent="0.3">
      <c r="A8" s="20" t="s">
        <v>128</v>
      </c>
      <c r="B8" s="9" t="s">
        <v>129</v>
      </c>
      <c r="C8" s="21">
        <v>17</v>
      </c>
      <c r="D8" s="22" t="s">
        <v>39</v>
      </c>
      <c r="E8" s="22" t="s">
        <v>39</v>
      </c>
      <c r="F8" s="22" t="s">
        <v>39</v>
      </c>
      <c r="G8" s="22" t="s">
        <v>39</v>
      </c>
      <c r="H8" s="9" t="s">
        <v>109</v>
      </c>
      <c r="I8" s="10" t="s">
        <v>110</v>
      </c>
      <c r="J8" s="9" t="s">
        <v>130</v>
      </c>
    </row>
    <row r="9" spans="1:10" ht="42" customHeight="1" x14ac:dyDescent="0.3">
      <c r="A9" s="20" t="s">
        <v>121</v>
      </c>
      <c r="B9" s="9" t="s">
        <v>122</v>
      </c>
      <c r="C9" s="21">
        <v>37.6</v>
      </c>
      <c r="D9" s="22" t="s">
        <v>39</v>
      </c>
      <c r="E9" s="22" t="s">
        <v>39</v>
      </c>
      <c r="F9" s="21">
        <v>32.799999999999997</v>
      </c>
      <c r="G9" s="22" t="s">
        <v>39</v>
      </c>
      <c r="H9" s="9" t="s">
        <v>109</v>
      </c>
      <c r="I9" s="10" t="s">
        <v>110</v>
      </c>
      <c r="J9" s="9" t="s">
        <v>131</v>
      </c>
    </row>
    <row r="10" spans="1:10" ht="42" customHeight="1" x14ac:dyDescent="0.3">
      <c r="A10" s="20" t="s">
        <v>132</v>
      </c>
      <c r="B10" s="9" t="s">
        <v>133</v>
      </c>
      <c r="C10" s="22" t="s">
        <v>39</v>
      </c>
      <c r="D10" s="22" t="s">
        <v>39</v>
      </c>
      <c r="E10" s="22" t="s">
        <v>39</v>
      </c>
      <c r="F10" s="21">
        <v>31.5</v>
      </c>
      <c r="G10" s="22" t="s">
        <v>39</v>
      </c>
      <c r="H10" s="9" t="s">
        <v>109</v>
      </c>
      <c r="I10" s="10" t="s">
        <v>110</v>
      </c>
      <c r="J10" s="9" t="s">
        <v>134</v>
      </c>
    </row>
  </sheetData>
  <autoFilter ref="A5:J10" xr:uid="{00000000-0009-0000-0000-000003000000}"/>
  <mergeCells count="1"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D46"/>
  <sheetViews>
    <sheetView showGridLines="0" zoomScaleNormal="100" workbookViewId="0">
      <selection activeCell="A2" sqref="A2:D2"/>
    </sheetView>
  </sheetViews>
  <sheetFormatPr baseColWidth="10" defaultColWidth="8.6640625" defaultRowHeight="14.4" x14ac:dyDescent="0.3"/>
  <cols>
    <col min="1" max="1" width="56" customWidth="1"/>
    <col min="2" max="2" width="14" customWidth="1"/>
    <col min="3" max="3" width="40" customWidth="1"/>
    <col min="4" max="4" width="52" customWidth="1"/>
  </cols>
  <sheetData>
    <row r="1" spans="1:4" ht="17.399999999999999" x14ac:dyDescent="0.3">
      <c r="A1" s="14" t="s">
        <v>135</v>
      </c>
    </row>
    <row r="2" spans="1:4" ht="43.5" customHeight="1" x14ac:dyDescent="0.3">
      <c r="A2" s="5"/>
      <c r="B2" s="5"/>
      <c r="C2" s="5"/>
      <c r="D2" s="5"/>
    </row>
    <row r="4" spans="1:4" ht="15" customHeight="1" x14ac:dyDescent="0.3">
      <c r="A4" s="4" t="s">
        <v>136</v>
      </c>
      <c r="B4" s="4"/>
      <c r="C4" s="4"/>
      <c r="D4" s="4"/>
    </row>
    <row r="5" spans="1:4" ht="31.5" customHeight="1" x14ac:dyDescent="0.3">
      <c r="A5" s="16" t="s">
        <v>137</v>
      </c>
      <c r="B5" s="16" t="s">
        <v>138</v>
      </c>
      <c r="C5" s="16" t="s">
        <v>27</v>
      </c>
      <c r="D5" s="16" t="s">
        <v>30</v>
      </c>
    </row>
    <row r="6" spans="1:4" x14ac:dyDescent="0.3">
      <c r="A6" s="9" t="s">
        <v>139</v>
      </c>
      <c r="B6" s="24">
        <v>0.23</v>
      </c>
      <c r="C6" s="9" t="s">
        <v>140</v>
      </c>
      <c r="D6" s="10" t="s">
        <v>110</v>
      </c>
    </row>
    <row r="7" spans="1:4" x14ac:dyDescent="0.3">
      <c r="A7" s="9" t="s">
        <v>141</v>
      </c>
      <c r="B7" s="24">
        <v>0.22</v>
      </c>
      <c r="C7" s="9" t="s">
        <v>140</v>
      </c>
      <c r="D7" s="10" t="s">
        <v>110</v>
      </c>
    </row>
    <row r="8" spans="1:4" x14ac:dyDescent="0.3">
      <c r="A8" s="9" t="s">
        <v>142</v>
      </c>
      <c r="B8" s="24">
        <v>0.1</v>
      </c>
      <c r="C8" s="9" t="s">
        <v>140</v>
      </c>
      <c r="D8" s="10" t="s">
        <v>110</v>
      </c>
    </row>
    <row r="9" spans="1:4" x14ac:dyDescent="0.3">
      <c r="A9" s="9" t="s">
        <v>143</v>
      </c>
      <c r="B9" s="24">
        <v>0.45</v>
      </c>
      <c r="C9" s="9" t="s">
        <v>140</v>
      </c>
      <c r="D9" s="10" t="s">
        <v>110</v>
      </c>
    </row>
    <row r="10" spans="1:4" x14ac:dyDescent="0.3">
      <c r="A10" s="20" t="s">
        <v>144</v>
      </c>
      <c r="B10" s="25">
        <f>SUM(B6:B9)</f>
        <v>1</v>
      </c>
      <c r="C10" s="9" t="s">
        <v>145</v>
      </c>
      <c r="D10" s="9" t="s">
        <v>146</v>
      </c>
    </row>
    <row r="12" spans="1:4" ht="15" customHeight="1" x14ac:dyDescent="0.3">
      <c r="A12" s="4" t="s">
        <v>147</v>
      </c>
      <c r="B12" s="4"/>
      <c r="C12" s="4"/>
      <c r="D12" s="4"/>
    </row>
    <row r="13" spans="1:4" ht="31.5" customHeight="1" x14ac:dyDescent="0.3">
      <c r="A13" s="16" t="s">
        <v>137</v>
      </c>
      <c r="B13" s="16" t="s">
        <v>138</v>
      </c>
      <c r="C13" s="16" t="s">
        <v>27</v>
      </c>
      <c r="D13" s="16" t="s">
        <v>30</v>
      </c>
    </row>
    <row r="14" spans="1:4" x14ac:dyDescent="0.3">
      <c r="A14" s="9" t="s">
        <v>148</v>
      </c>
      <c r="B14" s="24">
        <v>0.3</v>
      </c>
      <c r="C14" s="9" t="s">
        <v>140</v>
      </c>
      <c r="D14" s="10" t="s">
        <v>110</v>
      </c>
    </row>
    <row r="15" spans="1:4" x14ac:dyDescent="0.3">
      <c r="A15" s="9" t="s">
        <v>149</v>
      </c>
      <c r="B15" s="24">
        <v>0.21</v>
      </c>
      <c r="C15" s="9" t="s">
        <v>140</v>
      </c>
      <c r="D15" s="10" t="s">
        <v>110</v>
      </c>
    </row>
    <row r="16" spans="1:4" x14ac:dyDescent="0.3">
      <c r="A16" s="9" t="s">
        <v>150</v>
      </c>
      <c r="B16" s="24">
        <v>0.08</v>
      </c>
      <c r="C16" s="9" t="s">
        <v>140</v>
      </c>
      <c r="D16" s="10" t="s">
        <v>110</v>
      </c>
    </row>
    <row r="17" spans="1:4" x14ac:dyDescent="0.3">
      <c r="A17" s="20" t="s">
        <v>144</v>
      </c>
      <c r="B17" s="25">
        <f>SUM(B14:B16)</f>
        <v>0.59</v>
      </c>
      <c r="C17" s="9" t="s">
        <v>145</v>
      </c>
      <c r="D17" s="9"/>
    </row>
    <row r="18" spans="1:4" ht="26.4" x14ac:dyDescent="0.3">
      <c r="A18" s="26" t="s">
        <v>151</v>
      </c>
      <c r="B18" s="27">
        <f>1-B17</f>
        <v>0.41000000000000003</v>
      </c>
      <c r="C18" s="9" t="s">
        <v>145</v>
      </c>
      <c r="D18" s="9" t="s">
        <v>152</v>
      </c>
    </row>
    <row r="20" spans="1:4" ht="15" customHeight="1" x14ac:dyDescent="0.3">
      <c r="A20" s="4" t="s">
        <v>153</v>
      </c>
      <c r="B20" s="4"/>
      <c r="C20" s="4"/>
      <c r="D20" s="4"/>
    </row>
    <row r="21" spans="1:4" ht="31.5" customHeight="1" x14ac:dyDescent="0.3">
      <c r="A21" s="16" t="s">
        <v>137</v>
      </c>
      <c r="B21" s="16" t="s">
        <v>138</v>
      </c>
      <c r="C21" s="16" t="s">
        <v>27</v>
      </c>
      <c r="D21" s="16" t="s">
        <v>30</v>
      </c>
    </row>
    <row r="22" spans="1:4" x14ac:dyDescent="0.3">
      <c r="A22" s="9" t="s">
        <v>154</v>
      </c>
      <c r="B22" s="24">
        <v>0.45</v>
      </c>
      <c r="C22" s="9" t="s">
        <v>140</v>
      </c>
      <c r="D22" s="10" t="s">
        <v>110</v>
      </c>
    </row>
    <row r="23" spans="1:4" x14ac:dyDescent="0.3">
      <c r="A23" s="9" t="s">
        <v>155</v>
      </c>
      <c r="B23" s="24">
        <v>0.25</v>
      </c>
      <c r="C23" s="9" t="s">
        <v>140</v>
      </c>
      <c r="D23" s="10" t="s">
        <v>110</v>
      </c>
    </row>
    <row r="24" spans="1:4" x14ac:dyDescent="0.3">
      <c r="A24" s="9" t="s">
        <v>156</v>
      </c>
      <c r="B24" s="24">
        <v>0.11</v>
      </c>
      <c r="C24" s="9" t="s">
        <v>140</v>
      </c>
      <c r="D24" s="10" t="s">
        <v>110</v>
      </c>
    </row>
    <row r="25" spans="1:4" x14ac:dyDescent="0.3">
      <c r="A25" s="20" t="s">
        <v>144</v>
      </c>
      <c r="B25" s="25">
        <f>SUM(B22:B24)</f>
        <v>0.80999999999999994</v>
      </c>
      <c r="C25" s="9" t="s">
        <v>145</v>
      </c>
      <c r="D25" s="9"/>
    </row>
    <row r="26" spans="1:4" x14ac:dyDescent="0.3">
      <c r="A26" s="26" t="s">
        <v>151</v>
      </c>
      <c r="B26" s="27">
        <f>1-B25</f>
        <v>0.19000000000000006</v>
      </c>
      <c r="C26" s="9" t="s">
        <v>145</v>
      </c>
      <c r="D26" s="9" t="s">
        <v>157</v>
      </c>
    </row>
    <row r="46" spans="1:4" ht="30" customHeight="1" x14ac:dyDescent="0.3">
      <c r="A46" s="6" t="s">
        <v>158</v>
      </c>
      <c r="B46" s="6"/>
      <c r="C46" s="6"/>
      <c r="D46" s="6"/>
    </row>
  </sheetData>
  <mergeCells count="5">
    <mergeCell ref="A2:D2"/>
    <mergeCell ref="A4:D4"/>
    <mergeCell ref="A12:D12"/>
    <mergeCell ref="A20:D20"/>
    <mergeCell ref="A46:D4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K95"/>
  <sheetViews>
    <sheetView showGridLines="0" zoomScaleNormal="100" workbookViewId="0">
      <selection activeCell="B95" sqref="B95:K95"/>
    </sheetView>
  </sheetViews>
  <sheetFormatPr baseColWidth="10" defaultColWidth="8.6640625" defaultRowHeight="14.4" x14ac:dyDescent="0.3"/>
  <cols>
    <col min="1" max="1" width="9" customWidth="1"/>
    <col min="2" max="2" width="18" customWidth="1"/>
    <col min="3" max="3" width="36" customWidth="1"/>
    <col min="4" max="4" width="17" customWidth="1"/>
    <col min="5" max="5" width="16" customWidth="1"/>
    <col min="6" max="6" width="18" customWidth="1"/>
    <col min="7" max="7" width="16" customWidth="1"/>
    <col min="8" max="8" width="30" customWidth="1"/>
    <col min="9" max="10" width="22" customWidth="1"/>
    <col min="11" max="11" width="62" customWidth="1"/>
  </cols>
  <sheetData>
    <row r="1" spans="1:11" ht="17.399999999999999" x14ac:dyDescent="0.3">
      <c r="A1" s="14" t="s">
        <v>159</v>
      </c>
    </row>
    <row r="2" spans="1:11" x14ac:dyDescent="0.3">
      <c r="A2" s="15" t="s">
        <v>160</v>
      </c>
    </row>
    <row r="4" spans="1:11" ht="15" customHeight="1" x14ac:dyDescent="0.3">
      <c r="A4" s="3" t="s">
        <v>161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1.5" customHeight="1" x14ac:dyDescent="0.3">
      <c r="A5" s="16" t="s">
        <v>162</v>
      </c>
      <c r="B5" s="16" t="s">
        <v>163</v>
      </c>
      <c r="C5" s="16" t="s">
        <v>22</v>
      </c>
      <c r="D5" s="16" t="s">
        <v>164</v>
      </c>
      <c r="E5" s="16" t="s">
        <v>165</v>
      </c>
      <c r="F5" s="16" t="s">
        <v>166</v>
      </c>
      <c r="G5" s="16" t="s">
        <v>167</v>
      </c>
      <c r="H5" s="16" t="s">
        <v>168</v>
      </c>
      <c r="I5" s="16" t="s">
        <v>169</v>
      </c>
      <c r="J5" s="16" t="s">
        <v>170</v>
      </c>
      <c r="K5" s="16" t="s">
        <v>30</v>
      </c>
    </row>
    <row r="6" spans="1:11" ht="57.75" customHeight="1" x14ac:dyDescent="0.3">
      <c r="A6" s="20" t="s">
        <v>171</v>
      </c>
      <c r="B6" s="9" t="s">
        <v>172</v>
      </c>
      <c r="C6" s="9" t="s">
        <v>173</v>
      </c>
      <c r="D6" s="9" t="s">
        <v>79</v>
      </c>
      <c r="E6" s="28">
        <f>'Industria nacional'!C6</f>
        <v>59.5</v>
      </c>
      <c r="F6" s="9" t="s">
        <v>31</v>
      </c>
      <c r="G6" s="28">
        <f>'Industria nacional'!D6</f>
        <v>61.7</v>
      </c>
      <c r="H6" s="10" t="s">
        <v>174</v>
      </c>
      <c r="I6" s="29">
        <f t="shared" ref="I6:I17" si="0">IF(AND(ISNUMBER(E6),ISNUMBER(G6)),IF(E6&lt;&gt;0,(G6-E6)/E6,"No calculable"),"No calculable")</f>
        <v>3.6974789915966436E-2</v>
      </c>
      <c r="J6" s="30" t="s">
        <v>175</v>
      </c>
      <c r="K6" s="9" t="s">
        <v>176</v>
      </c>
    </row>
    <row r="7" spans="1:11" ht="57.75" customHeight="1" x14ac:dyDescent="0.3">
      <c r="A7" s="20" t="s">
        <v>177</v>
      </c>
      <c r="B7" s="9" t="s">
        <v>172</v>
      </c>
      <c r="C7" s="9" t="s">
        <v>112</v>
      </c>
      <c r="D7" s="9" t="s">
        <v>79</v>
      </c>
      <c r="E7" s="31">
        <f>'Industria nacional'!C7</f>
        <v>54</v>
      </c>
      <c r="F7" s="9" t="s">
        <v>31</v>
      </c>
      <c r="G7" s="31">
        <f>'Industria nacional'!D7</f>
        <v>57</v>
      </c>
      <c r="H7" s="10" t="s">
        <v>178</v>
      </c>
      <c r="I7" s="29">
        <f t="shared" si="0"/>
        <v>5.5555555555555552E-2</v>
      </c>
      <c r="J7" s="30" t="s">
        <v>175</v>
      </c>
      <c r="K7" s="9" t="s">
        <v>179</v>
      </c>
    </row>
    <row r="8" spans="1:11" ht="57.75" customHeight="1" x14ac:dyDescent="0.3">
      <c r="A8" s="20" t="s">
        <v>180</v>
      </c>
      <c r="B8" s="9" t="s">
        <v>172</v>
      </c>
      <c r="C8" s="9" t="s">
        <v>44</v>
      </c>
      <c r="D8" s="9" t="s">
        <v>79</v>
      </c>
      <c r="E8" s="31">
        <f>'Industria nacional'!C8</f>
        <v>75110</v>
      </c>
      <c r="F8" s="9" t="s">
        <v>31</v>
      </c>
      <c r="G8" s="31">
        <f>'Industria nacional'!D8</f>
        <v>82967</v>
      </c>
      <c r="H8" s="10" t="s">
        <v>178</v>
      </c>
      <c r="I8" s="29">
        <f t="shared" si="0"/>
        <v>0.10460657702037013</v>
      </c>
      <c r="J8" s="30" t="s">
        <v>175</v>
      </c>
      <c r="K8" s="9" t="s">
        <v>181</v>
      </c>
    </row>
    <row r="9" spans="1:11" ht="57.75" customHeight="1" x14ac:dyDescent="0.3">
      <c r="A9" s="20" t="s">
        <v>182</v>
      </c>
      <c r="B9" s="9" t="s">
        <v>172</v>
      </c>
      <c r="C9" s="9" t="s">
        <v>116</v>
      </c>
      <c r="D9" s="9" t="s">
        <v>79</v>
      </c>
      <c r="E9" s="31">
        <f>'Industria nacional'!C9</f>
        <v>67134</v>
      </c>
      <c r="F9" s="9" t="s">
        <v>31</v>
      </c>
      <c r="G9" s="31">
        <f>'Industria nacional'!D9</f>
        <v>72708</v>
      </c>
      <c r="H9" s="10" t="s">
        <v>178</v>
      </c>
      <c r="I9" s="29">
        <f t="shared" si="0"/>
        <v>8.3027973902940394E-2</v>
      </c>
      <c r="J9" s="30" t="s">
        <v>175</v>
      </c>
      <c r="K9" s="9" t="s">
        <v>183</v>
      </c>
    </row>
    <row r="10" spans="1:11" ht="57.75" customHeight="1" x14ac:dyDescent="0.3">
      <c r="A10" s="20" t="s">
        <v>184</v>
      </c>
      <c r="B10" s="9" t="s">
        <v>172</v>
      </c>
      <c r="C10" s="9" t="s">
        <v>118</v>
      </c>
      <c r="D10" s="9" t="s">
        <v>79</v>
      </c>
      <c r="E10" s="31">
        <f>'Industria nacional'!C10</f>
        <v>1128258</v>
      </c>
      <c r="F10" s="9" t="s">
        <v>31</v>
      </c>
      <c r="G10" s="31">
        <f>'Industria nacional'!D10</f>
        <v>1178397</v>
      </c>
      <c r="H10" s="10" t="s">
        <v>178</v>
      </c>
      <c r="I10" s="29">
        <f t="shared" si="0"/>
        <v>4.4439303776263941E-2</v>
      </c>
      <c r="J10" s="30" t="s">
        <v>175</v>
      </c>
      <c r="K10" s="9" t="s">
        <v>185</v>
      </c>
    </row>
    <row r="11" spans="1:11" ht="57.75" customHeight="1" x14ac:dyDescent="0.3">
      <c r="A11" s="20" t="s">
        <v>186</v>
      </c>
      <c r="B11" s="9" t="s">
        <v>172</v>
      </c>
      <c r="C11" s="9" t="s">
        <v>173</v>
      </c>
      <c r="D11" s="9" t="s">
        <v>31</v>
      </c>
      <c r="E11" s="28">
        <f>'Industria nacional'!D6</f>
        <v>61.7</v>
      </c>
      <c r="F11" s="9" t="s">
        <v>49</v>
      </c>
      <c r="G11" s="28">
        <f>'Industria nacional'!F6</f>
        <v>52.7</v>
      </c>
      <c r="H11" s="11" t="s">
        <v>187</v>
      </c>
      <c r="I11" s="29">
        <f t="shared" si="0"/>
        <v>-0.14586709886547811</v>
      </c>
      <c r="J11" s="30" t="s">
        <v>175</v>
      </c>
      <c r="K11" s="9" t="s">
        <v>188</v>
      </c>
    </row>
    <row r="12" spans="1:11" ht="57.75" customHeight="1" x14ac:dyDescent="0.3">
      <c r="A12" s="20" t="s">
        <v>189</v>
      </c>
      <c r="B12" s="9" t="s">
        <v>190</v>
      </c>
      <c r="C12" s="9" t="s">
        <v>173</v>
      </c>
      <c r="D12" s="9" t="s">
        <v>79</v>
      </c>
      <c r="E12" s="28">
        <f>'Total sistema'!C6</f>
        <v>34.5</v>
      </c>
      <c r="F12" s="9" t="s">
        <v>31</v>
      </c>
      <c r="G12" s="28">
        <f>'Total sistema'!D6</f>
        <v>37.4</v>
      </c>
      <c r="H12" s="10" t="s">
        <v>178</v>
      </c>
      <c r="I12" s="29">
        <f t="shared" si="0"/>
        <v>8.4057971014492708E-2</v>
      </c>
      <c r="J12" s="30" t="s">
        <v>175</v>
      </c>
      <c r="K12" s="9"/>
    </row>
    <row r="13" spans="1:11" ht="57.75" customHeight="1" x14ac:dyDescent="0.3">
      <c r="A13" s="20" t="s">
        <v>191</v>
      </c>
      <c r="B13" s="9" t="s">
        <v>190</v>
      </c>
      <c r="C13" s="9" t="s">
        <v>173</v>
      </c>
      <c r="D13" s="9" t="s">
        <v>31</v>
      </c>
      <c r="E13" s="28">
        <f>'Total sistema'!D6</f>
        <v>37.4</v>
      </c>
      <c r="F13" s="9" t="s">
        <v>49</v>
      </c>
      <c r="G13" s="28">
        <f>'Total sistema'!F6</f>
        <v>33.299999999999997</v>
      </c>
      <c r="H13" s="11" t="s">
        <v>192</v>
      </c>
      <c r="I13" s="29">
        <f t="shared" si="0"/>
        <v>-0.1096256684491979</v>
      </c>
      <c r="J13" s="30" t="s">
        <v>175</v>
      </c>
      <c r="K13" s="9"/>
    </row>
    <row r="14" spans="1:11" ht="57.75" customHeight="1" x14ac:dyDescent="0.3">
      <c r="A14" s="20" t="s">
        <v>193</v>
      </c>
      <c r="B14" s="9" t="s">
        <v>190</v>
      </c>
      <c r="C14" s="9" t="s">
        <v>118</v>
      </c>
      <c r="D14" s="9" t="s">
        <v>31</v>
      </c>
      <c r="E14" s="31">
        <f>'Total sistema'!D7</f>
        <v>9489169</v>
      </c>
      <c r="F14" s="9" t="s">
        <v>49</v>
      </c>
      <c r="G14" s="31">
        <f>'Total sistema'!F7</f>
        <v>9656664</v>
      </c>
      <c r="H14" s="11" t="s">
        <v>192</v>
      </c>
      <c r="I14" s="29">
        <f t="shared" si="0"/>
        <v>1.7651176831185111E-2</v>
      </c>
      <c r="J14" s="30" t="s">
        <v>175</v>
      </c>
      <c r="K14" s="9"/>
    </row>
    <row r="15" spans="1:11" ht="57.75" customHeight="1" x14ac:dyDescent="0.3">
      <c r="A15" s="20" t="s">
        <v>194</v>
      </c>
      <c r="B15" s="9" t="s">
        <v>190</v>
      </c>
      <c r="C15" s="9" t="s">
        <v>195</v>
      </c>
      <c r="D15" s="9" t="s">
        <v>79</v>
      </c>
      <c r="E15" s="28">
        <f>'Total sistema'!C9</f>
        <v>37.6</v>
      </c>
      <c r="F15" s="9" t="s">
        <v>49</v>
      </c>
      <c r="G15" s="28">
        <f>'Total sistema'!F9</f>
        <v>32.799999999999997</v>
      </c>
      <c r="H15" s="11" t="s">
        <v>196</v>
      </c>
      <c r="I15" s="29">
        <f t="shared" si="0"/>
        <v>-0.12765957446808521</v>
      </c>
      <c r="J15" s="30" t="s">
        <v>175</v>
      </c>
      <c r="K15" s="9"/>
    </row>
    <row r="16" spans="1:11" ht="57.75" customHeight="1" x14ac:dyDescent="0.3">
      <c r="A16" s="20" t="s">
        <v>197</v>
      </c>
      <c r="B16" s="9" t="s">
        <v>198</v>
      </c>
      <c r="C16" s="9" t="s">
        <v>199</v>
      </c>
      <c r="D16" s="9" t="s">
        <v>200</v>
      </c>
      <c r="E16" s="31">
        <f>Misiones!E6</f>
        <v>3642</v>
      </c>
      <c r="F16" s="9" t="s">
        <v>201</v>
      </c>
      <c r="G16" s="31">
        <f>Misiones!E7</f>
        <v>4031</v>
      </c>
      <c r="H16" s="11" t="s">
        <v>202</v>
      </c>
      <c r="I16" s="29">
        <f t="shared" si="0"/>
        <v>0.10680944535969247</v>
      </c>
      <c r="J16" s="30" t="s">
        <v>175</v>
      </c>
      <c r="K16" s="9" t="s">
        <v>203</v>
      </c>
    </row>
    <row r="17" spans="1:11" ht="57.75" customHeight="1" x14ac:dyDescent="0.3">
      <c r="A17" s="20" t="s">
        <v>204</v>
      </c>
      <c r="B17" s="9" t="s">
        <v>198</v>
      </c>
      <c r="C17" s="9" t="s">
        <v>205</v>
      </c>
      <c r="D17" s="9" t="s">
        <v>206</v>
      </c>
      <c r="E17" s="31">
        <f>Misiones!E10</f>
        <v>829</v>
      </c>
      <c r="F17" s="9" t="s">
        <v>207</v>
      </c>
      <c r="G17" s="31">
        <f>Misiones!E11</f>
        <v>986</v>
      </c>
      <c r="H17" s="10" t="s">
        <v>208</v>
      </c>
      <c r="I17" s="29">
        <f t="shared" si="0"/>
        <v>0.18938480096501809</v>
      </c>
      <c r="J17" s="30" t="s">
        <v>175</v>
      </c>
      <c r="K17" s="9" t="s">
        <v>209</v>
      </c>
    </row>
    <row r="18" spans="1:11" ht="57.75" customHeight="1" x14ac:dyDescent="0.3">
      <c r="A18" s="20" t="s">
        <v>210</v>
      </c>
      <c r="B18" s="9" t="s">
        <v>198</v>
      </c>
      <c r="C18" s="9" t="s">
        <v>82</v>
      </c>
      <c r="D18" s="9" t="s">
        <v>50</v>
      </c>
      <c r="E18" s="31">
        <f>Misiones!E8</f>
        <v>5258</v>
      </c>
      <c r="F18" s="9" t="s">
        <v>207</v>
      </c>
      <c r="G18" s="31">
        <f>Misiones!E9</f>
        <v>5525</v>
      </c>
      <c r="H18" s="32" t="s">
        <v>211</v>
      </c>
      <c r="I18" s="22" t="s">
        <v>212</v>
      </c>
      <c r="J18" s="33">
        <v>5.0999999999999997E-2</v>
      </c>
      <c r="K18" s="9" t="s">
        <v>213</v>
      </c>
    </row>
    <row r="19" spans="1:11" ht="57.75" customHeight="1" x14ac:dyDescent="0.3">
      <c r="A19" s="20" t="s">
        <v>214</v>
      </c>
      <c r="B19" s="9" t="s">
        <v>198</v>
      </c>
      <c r="C19" s="9" t="s">
        <v>215</v>
      </c>
      <c r="D19" s="9" t="s">
        <v>66</v>
      </c>
      <c r="E19" s="22" t="s">
        <v>39</v>
      </c>
      <c r="F19" s="9" t="s">
        <v>66</v>
      </c>
      <c r="G19" s="22" t="s">
        <v>39</v>
      </c>
      <c r="H19" s="32" t="s">
        <v>216</v>
      </c>
      <c r="I19" s="22" t="s">
        <v>217</v>
      </c>
      <c r="J19" s="33">
        <v>6.9000000000000006E-2</v>
      </c>
      <c r="K19" s="9" t="s">
        <v>218</v>
      </c>
    </row>
    <row r="20" spans="1:11" ht="57.75" customHeight="1" x14ac:dyDescent="0.3">
      <c r="A20" s="20" t="s">
        <v>219</v>
      </c>
      <c r="B20" s="9" t="s">
        <v>198</v>
      </c>
      <c r="C20" s="9" t="s">
        <v>62</v>
      </c>
      <c r="D20" s="9" t="s">
        <v>66</v>
      </c>
      <c r="E20" s="22" t="s">
        <v>39</v>
      </c>
      <c r="F20" s="9" t="s">
        <v>207</v>
      </c>
      <c r="G20" s="31">
        <f>Misiones!E12</f>
        <v>856</v>
      </c>
      <c r="H20" s="32" t="s">
        <v>220</v>
      </c>
      <c r="I20" s="22" t="s">
        <v>217</v>
      </c>
      <c r="J20" s="33">
        <v>0.28299999999999997</v>
      </c>
      <c r="K20" s="9" t="s">
        <v>221</v>
      </c>
    </row>
    <row r="22" spans="1:11" ht="15" customHeight="1" x14ac:dyDescent="0.3">
      <c r="A22" s="3" t="s">
        <v>222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5" customHeight="1" x14ac:dyDescent="0.3">
      <c r="A23" s="2" t="s">
        <v>223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31.5" customHeight="1" x14ac:dyDescent="0.3">
      <c r="A24" s="16" t="s">
        <v>162</v>
      </c>
      <c r="B24" s="16" t="s">
        <v>19</v>
      </c>
      <c r="C24" s="16" t="s">
        <v>116</v>
      </c>
      <c r="D24" s="16" t="s">
        <v>44</v>
      </c>
      <c r="E24" s="16" t="s">
        <v>118</v>
      </c>
      <c r="F24" s="16" t="s">
        <v>224</v>
      </c>
      <c r="G24" s="16" t="s">
        <v>225</v>
      </c>
      <c r="H24" s="16" t="s">
        <v>226</v>
      </c>
      <c r="I24" s="16" t="s">
        <v>227</v>
      </c>
      <c r="J24" s="16"/>
      <c r="K24" s="16" t="s">
        <v>228</v>
      </c>
    </row>
    <row r="25" spans="1:11" ht="43.5" customHeight="1" x14ac:dyDescent="0.3">
      <c r="A25" s="20" t="s">
        <v>229</v>
      </c>
      <c r="B25" s="9" t="s">
        <v>79</v>
      </c>
      <c r="C25" s="31">
        <f>'Industria nacional'!C9</f>
        <v>67134</v>
      </c>
      <c r="D25" s="31">
        <f>'Industria nacional'!C8</f>
        <v>75110</v>
      </c>
      <c r="E25" s="31">
        <f>'Industria nacional'!C10</f>
        <v>1128258</v>
      </c>
      <c r="F25" s="34">
        <f>C25/E25*1000</f>
        <v>59.502347867243131</v>
      </c>
      <c r="G25" s="34">
        <f>D25/E25*1000</f>
        <v>66.571652937537337</v>
      </c>
      <c r="H25" s="28">
        <f>'Industria nacional'!C6</f>
        <v>59.5</v>
      </c>
      <c r="I25" s="34">
        <f>F25-H25</f>
        <v>2.3478672431309633E-3</v>
      </c>
      <c r="J25" s="9"/>
      <c r="K25" s="9" t="s">
        <v>230</v>
      </c>
    </row>
    <row r="26" spans="1:11" ht="43.5" customHeight="1" x14ac:dyDescent="0.3">
      <c r="A26" s="20" t="s">
        <v>231</v>
      </c>
      <c r="B26" s="9" t="s">
        <v>31</v>
      </c>
      <c r="C26" s="31">
        <f>'Industria nacional'!D9</f>
        <v>72708</v>
      </c>
      <c r="D26" s="31">
        <f>'Industria nacional'!D8</f>
        <v>82967</v>
      </c>
      <c r="E26" s="31">
        <f>'Industria nacional'!D10</f>
        <v>1178397</v>
      </c>
      <c r="F26" s="34">
        <f>C26/E26*1000</f>
        <v>61.700768077311807</v>
      </c>
      <c r="G26" s="34">
        <f>D26/E26*1000</f>
        <v>70.406662610308757</v>
      </c>
      <c r="H26" s="28">
        <f>'Industria nacional'!D6</f>
        <v>61.7</v>
      </c>
      <c r="I26" s="34">
        <f>F26-H26</f>
        <v>7.6807731180394967E-4</v>
      </c>
      <c r="J26" s="9"/>
      <c r="K26" s="9" t="s">
        <v>230</v>
      </c>
    </row>
    <row r="28" spans="1:11" ht="15" customHeight="1" x14ac:dyDescent="0.3">
      <c r="A28" s="2" t="s">
        <v>232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31.5" customHeight="1" x14ac:dyDescent="0.3">
      <c r="A29" s="16" t="s">
        <v>162</v>
      </c>
      <c r="B29" s="16"/>
      <c r="C29" s="16" t="s">
        <v>233</v>
      </c>
      <c r="D29" s="16" t="s">
        <v>234</v>
      </c>
      <c r="E29" s="16" t="s">
        <v>235</v>
      </c>
      <c r="F29" s="16" t="s">
        <v>236</v>
      </c>
      <c r="G29" s="16" t="s">
        <v>237</v>
      </c>
      <c r="H29" s="16"/>
      <c r="I29" s="16"/>
      <c r="J29" s="16"/>
      <c r="K29" s="16" t="s">
        <v>228</v>
      </c>
    </row>
    <row r="30" spans="1:11" ht="99.75" customHeight="1" x14ac:dyDescent="0.3">
      <c r="A30" s="20" t="s">
        <v>238</v>
      </c>
      <c r="B30" s="9"/>
      <c r="C30" s="31">
        <f>Misiones!E8</f>
        <v>5258</v>
      </c>
      <c r="D30" s="31">
        <f>Misiones!E9</f>
        <v>5525</v>
      </c>
      <c r="E30" s="35">
        <f>(D30-C30)/C30</f>
        <v>5.0779764168885508E-2</v>
      </c>
      <c r="F30" s="36">
        <f>Misiones!E15</f>
        <v>5.0999999999999997E-2</v>
      </c>
      <c r="G30" s="35">
        <f>E30-F30</f>
        <v>-2.2023583111448891E-4</v>
      </c>
      <c r="H30" s="9"/>
      <c r="I30" s="9"/>
      <c r="J30" s="9"/>
      <c r="K30" s="9" t="s">
        <v>239</v>
      </c>
    </row>
    <row r="32" spans="1:11" ht="15" customHeight="1" x14ac:dyDescent="0.3">
      <c r="A32" s="2" t="s">
        <v>240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30" customHeight="1" x14ac:dyDescent="0.3">
      <c r="A33" s="20" t="s">
        <v>241</v>
      </c>
      <c r="B33" s="9" t="s">
        <v>198</v>
      </c>
      <c r="C33" s="1" t="s">
        <v>242</v>
      </c>
      <c r="D33" s="1"/>
      <c r="E33" s="1"/>
      <c r="F33" s="1"/>
      <c r="G33" s="1"/>
      <c r="H33" s="1"/>
      <c r="I33" s="1"/>
      <c r="J33" s="1"/>
      <c r="K33" s="1"/>
    </row>
    <row r="35" spans="1:11" ht="15" customHeight="1" x14ac:dyDescent="0.3">
      <c r="A35" s="3" t="s">
        <v>243</v>
      </c>
      <c r="B35" s="3"/>
      <c r="C35" s="3"/>
      <c r="D35" s="3"/>
      <c r="E35" s="3"/>
      <c r="F35" s="3"/>
      <c r="G35" s="3"/>
      <c r="H35" s="3"/>
      <c r="I35" s="3"/>
      <c r="J35" s="3"/>
      <c r="K35" s="3"/>
    </row>
    <row r="37" spans="1:11" ht="15" customHeight="1" x14ac:dyDescent="0.3">
      <c r="A37" s="2" t="s">
        <v>244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31.5" customHeight="1" x14ac:dyDescent="0.3">
      <c r="B38" s="16" t="s">
        <v>19</v>
      </c>
      <c r="C38" s="16" t="s">
        <v>245</v>
      </c>
      <c r="D38" s="16" t="s">
        <v>246</v>
      </c>
    </row>
    <row r="39" spans="1:11" x14ac:dyDescent="0.3">
      <c r="B39" s="9" t="s">
        <v>79</v>
      </c>
      <c r="C39" s="28">
        <f>'Industria nacional'!C6</f>
        <v>59.5</v>
      </c>
      <c r="D39" s="28">
        <f>'Total sistema'!C6</f>
        <v>34.5</v>
      </c>
    </row>
    <row r="40" spans="1:11" x14ac:dyDescent="0.3">
      <c r="B40" s="9" t="s">
        <v>31</v>
      </c>
      <c r="C40" s="28">
        <f>'Industria nacional'!D6</f>
        <v>61.7</v>
      </c>
      <c r="D40" s="28">
        <f>'Total sistema'!D6</f>
        <v>37.4</v>
      </c>
    </row>
    <row r="41" spans="1:11" x14ac:dyDescent="0.3">
      <c r="B41" s="9" t="s">
        <v>49</v>
      </c>
      <c r="C41" s="28">
        <f>'Industria nacional'!F6</f>
        <v>52.7</v>
      </c>
      <c r="D41" s="28">
        <f>'Total sistema'!F6</f>
        <v>33.299999999999997</v>
      </c>
    </row>
    <row r="55" spans="1:11" ht="33.75" customHeight="1" x14ac:dyDescent="0.3">
      <c r="B55" s="6"/>
      <c r="C55" s="6"/>
      <c r="D55" s="6"/>
      <c r="E55" s="6"/>
      <c r="F55" s="6"/>
      <c r="G55" s="6"/>
      <c r="H55" s="6"/>
      <c r="I55" s="6"/>
      <c r="J55" s="6"/>
      <c r="K55" s="6"/>
    </row>
    <row r="57" spans="1:11" ht="15" customHeight="1" x14ac:dyDescent="0.3">
      <c r="A57" s="2" t="s">
        <v>247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31.5" customHeight="1" x14ac:dyDescent="0.3">
      <c r="B58" s="16" t="s">
        <v>20</v>
      </c>
      <c r="C58" s="16" t="s">
        <v>248</v>
      </c>
    </row>
    <row r="59" spans="1:11" x14ac:dyDescent="0.3">
      <c r="B59" s="9" t="s">
        <v>200</v>
      </c>
      <c r="C59" s="31">
        <f>Misiones!E6</f>
        <v>3642</v>
      </c>
    </row>
    <row r="60" spans="1:11" x14ac:dyDescent="0.3">
      <c r="B60" s="9" t="s">
        <v>201</v>
      </c>
      <c r="C60" s="31">
        <f>Misiones!E7</f>
        <v>4031</v>
      </c>
    </row>
    <row r="75" spans="1:11" ht="33.75" customHeight="1" x14ac:dyDescent="0.3">
      <c r="B75" s="6"/>
      <c r="C75" s="6"/>
      <c r="D75" s="6"/>
      <c r="E75" s="6"/>
      <c r="F75" s="6"/>
      <c r="G75" s="6"/>
      <c r="H75" s="6"/>
      <c r="I75" s="6"/>
      <c r="J75" s="6"/>
      <c r="K75" s="6"/>
    </row>
    <row r="77" spans="1:11" ht="15" customHeight="1" x14ac:dyDescent="0.3">
      <c r="A77" s="2" t="s">
        <v>249</v>
      </c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31.5" customHeight="1" x14ac:dyDescent="0.3">
      <c r="B78" s="16" t="s">
        <v>20</v>
      </c>
      <c r="C78" s="16" t="s">
        <v>250</v>
      </c>
    </row>
    <row r="79" spans="1:11" x14ac:dyDescent="0.3">
      <c r="B79" s="9" t="s">
        <v>206</v>
      </c>
      <c r="C79" s="31">
        <f>Misiones!E10</f>
        <v>829</v>
      </c>
    </row>
    <row r="80" spans="1:11" x14ac:dyDescent="0.3">
      <c r="B80" s="9" t="s">
        <v>207</v>
      </c>
      <c r="C80" s="31">
        <f>Misiones!E11</f>
        <v>986</v>
      </c>
    </row>
    <row r="95" spans="2:11" ht="33.75" customHeight="1" x14ac:dyDescent="0.3">
      <c r="B95" s="6"/>
      <c r="C95" s="6"/>
      <c r="D95" s="6"/>
      <c r="E95" s="6"/>
      <c r="F95" s="6"/>
      <c r="G95" s="6"/>
      <c r="H95" s="6"/>
      <c r="I95" s="6"/>
      <c r="J95" s="6"/>
      <c r="K95" s="6"/>
    </row>
  </sheetData>
  <autoFilter ref="A5:K20" xr:uid="{00000000-0009-0000-0000-000005000000}"/>
  <mergeCells count="13">
    <mergeCell ref="B75:K75"/>
    <mergeCell ref="A77:K77"/>
    <mergeCell ref="B95:K95"/>
    <mergeCell ref="C33:K33"/>
    <mergeCell ref="A35:K35"/>
    <mergeCell ref="A37:K37"/>
    <mergeCell ref="B55:K55"/>
    <mergeCell ref="A57:K57"/>
    <mergeCell ref="A4:K4"/>
    <mergeCell ref="A22:K22"/>
    <mergeCell ref="A23:K23"/>
    <mergeCell ref="A28:K28"/>
    <mergeCell ref="A32:K3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H7"/>
  <sheetViews>
    <sheetView showGridLines="0" zoomScaleNormal="100" workbookViewId="0">
      <pane ySplit="4" topLeftCell="A5" activePane="bottomLeft" state="frozen"/>
      <selection pane="bottomLeft" activeCell="A2" sqref="A2"/>
    </sheetView>
  </sheetViews>
  <sheetFormatPr baseColWidth="10" defaultColWidth="8.6640625" defaultRowHeight="14.4" x14ac:dyDescent="0.3"/>
  <cols>
    <col min="1" max="1" width="6" customWidth="1"/>
    <col min="2" max="2" width="34" customWidth="1"/>
    <col min="3" max="3" width="44" customWidth="1"/>
    <col min="4" max="4" width="18" customWidth="1"/>
    <col min="5" max="5" width="40" customWidth="1"/>
    <col min="6" max="6" width="18" customWidth="1"/>
    <col min="7" max="8" width="46" customWidth="1"/>
  </cols>
  <sheetData>
    <row r="1" spans="1:8" ht="17.399999999999999" x14ac:dyDescent="0.3">
      <c r="A1" s="14" t="s">
        <v>251</v>
      </c>
    </row>
    <row r="2" spans="1:8" x14ac:dyDescent="0.3">
      <c r="A2" s="15"/>
    </row>
    <row r="4" spans="1:8" ht="31.5" customHeight="1" x14ac:dyDescent="0.3">
      <c r="A4" s="16" t="s">
        <v>252</v>
      </c>
      <c r="B4" s="16" t="s">
        <v>253</v>
      </c>
      <c r="C4" s="16" t="s">
        <v>254</v>
      </c>
      <c r="D4" s="16" t="s">
        <v>19</v>
      </c>
      <c r="E4" s="16" t="s">
        <v>28</v>
      </c>
      <c r="F4" s="16" t="s">
        <v>255</v>
      </c>
      <c r="G4" s="16" t="s">
        <v>256</v>
      </c>
      <c r="H4" s="16" t="s">
        <v>30</v>
      </c>
    </row>
    <row r="5" spans="1:8" ht="69.75" customHeight="1" x14ac:dyDescent="0.3">
      <c r="A5" s="9">
        <v>1</v>
      </c>
      <c r="B5" s="9" t="s">
        <v>257</v>
      </c>
      <c r="C5" s="9" t="s">
        <v>258</v>
      </c>
      <c r="D5" s="9" t="s">
        <v>259</v>
      </c>
      <c r="E5" s="9" t="s">
        <v>260</v>
      </c>
      <c r="F5" s="10" t="s">
        <v>261</v>
      </c>
      <c r="G5" s="9" t="s">
        <v>262</v>
      </c>
      <c r="H5" s="9" t="s">
        <v>263</v>
      </c>
    </row>
    <row r="6" spans="1:8" ht="69.75" customHeight="1" x14ac:dyDescent="0.3">
      <c r="A6" s="9">
        <v>2</v>
      </c>
      <c r="B6" s="9" t="s">
        <v>46</v>
      </c>
      <c r="C6" s="9" t="s">
        <v>264</v>
      </c>
      <c r="D6" s="9" t="s">
        <v>42</v>
      </c>
      <c r="E6" s="13" t="s">
        <v>39</v>
      </c>
      <c r="F6" s="11" t="s">
        <v>265</v>
      </c>
      <c r="G6" s="9" t="s">
        <v>266</v>
      </c>
      <c r="H6" s="9" t="s">
        <v>267</v>
      </c>
    </row>
    <row r="7" spans="1:8" ht="69.75" customHeight="1" x14ac:dyDescent="0.3">
      <c r="A7" s="9">
        <v>3</v>
      </c>
      <c r="B7" s="9" t="s">
        <v>268</v>
      </c>
      <c r="C7" s="9" t="s">
        <v>269</v>
      </c>
      <c r="D7" s="9" t="s">
        <v>270</v>
      </c>
      <c r="E7" s="13" t="s">
        <v>39</v>
      </c>
      <c r="F7" s="12" t="s">
        <v>271</v>
      </c>
      <c r="G7" s="9" t="s">
        <v>272</v>
      </c>
      <c r="H7" s="9" t="s">
        <v>273</v>
      </c>
    </row>
  </sheetData>
  <autoFilter ref="A4:H7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D14"/>
  <sheetViews>
    <sheetView showGridLines="0" tabSelected="1" zoomScaleNormal="100" workbookViewId="0">
      <pane ySplit="4" topLeftCell="A5" activePane="bottomLeft" state="frozen"/>
      <selection pane="bottomLeft" activeCell="A2" sqref="A2"/>
    </sheetView>
  </sheetViews>
  <sheetFormatPr baseColWidth="10" defaultColWidth="8.6640625" defaultRowHeight="14.4" x14ac:dyDescent="0.3"/>
  <cols>
    <col min="1" max="1" width="6" customWidth="1"/>
    <col min="2" max="2" width="30" customWidth="1"/>
    <col min="3" max="4" width="62" customWidth="1"/>
  </cols>
  <sheetData>
    <row r="1" spans="1:4" ht="17.399999999999999" x14ac:dyDescent="0.3">
      <c r="A1" s="14" t="s">
        <v>274</v>
      </c>
    </row>
    <row r="2" spans="1:4" x14ac:dyDescent="0.3">
      <c r="A2" s="15"/>
    </row>
    <row r="4" spans="1:4" ht="31.5" customHeight="1" x14ac:dyDescent="0.3">
      <c r="A4" s="16" t="s">
        <v>252</v>
      </c>
      <c r="B4" s="16" t="s">
        <v>275</v>
      </c>
      <c r="C4" s="16" t="s">
        <v>276</v>
      </c>
      <c r="D4" s="16" t="s">
        <v>277</v>
      </c>
    </row>
    <row r="5" spans="1:4" ht="61.5" customHeight="1" x14ac:dyDescent="0.3">
      <c r="A5" s="9">
        <v>1</v>
      </c>
      <c r="B5" s="9" t="s">
        <v>278</v>
      </c>
      <c r="C5" s="9" t="s">
        <v>279</v>
      </c>
      <c r="D5" s="9" t="s">
        <v>280</v>
      </c>
    </row>
    <row r="6" spans="1:4" ht="61.5" customHeight="1" x14ac:dyDescent="0.3">
      <c r="A6" s="9">
        <v>2</v>
      </c>
      <c r="B6" s="9" t="s">
        <v>281</v>
      </c>
      <c r="C6" s="9" t="s">
        <v>282</v>
      </c>
      <c r="D6" s="9" t="s">
        <v>283</v>
      </c>
    </row>
    <row r="7" spans="1:4" ht="61.5" customHeight="1" x14ac:dyDescent="0.3">
      <c r="A7" s="9">
        <v>3</v>
      </c>
      <c r="B7" s="9" t="s">
        <v>284</v>
      </c>
      <c r="C7" s="9" t="s">
        <v>285</v>
      </c>
      <c r="D7" s="9" t="s">
        <v>286</v>
      </c>
    </row>
    <row r="8" spans="1:4" ht="61.5" customHeight="1" x14ac:dyDescent="0.3">
      <c r="A8" s="9">
        <v>4</v>
      </c>
      <c r="B8" s="9" t="s">
        <v>287</v>
      </c>
      <c r="C8" s="9" t="s">
        <v>288</v>
      </c>
      <c r="D8" s="9" t="s">
        <v>289</v>
      </c>
    </row>
    <row r="9" spans="1:4" ht="61.5" customHeight="1" x14ac:dyDescent="0.3">
      <c r="A9" s="9">
        <v>5</v>
      </c>
      <c r="B9" s="9" t="s">
        <v>290</v>
      </c>
      <c r="C9" s="9" t="s">
        <v>291</v>
      </c>
      <c r="D9" s="9" t="s">
        <v>292</v>
      </c>
    </row>
    <row r="10" spans="1:4" ht="61.5" customHeight="1" x14ac:dyDescent="0.3">
      <c r="A10" s="9">
        <v>6</v>
      </c>
      <c r="B10" s="9" t="s">
        <v>293</v>
      </c>
      <c r="C10" s="9" t="s">
        <v>294</v>
      </c>
      <c r="D10" s="9" t="s">
        <v>295</v>
      </c>
    </row>
    <row r="11" spans="1:4" ht="61.5" customHeight="1" x14ac:dyDescent="0.3">
      <c r="A11" s="9">
        <v>7</v>
      </c>
      <c r="B11" s="9" t="s">
        <v>296</v>
      </c>
      <c r="C11" s="9" t="s">
        <v>297</v>
      </c>
      <c r="D11" s="9" t="s">
        <v>298</v>
      </c>
    </row>
    <row r="12" spans="1:4" ht="61.5" customHeight="1" x14ac:dyDescent="0.3">
      <c r="A12" s="9">
        <v>8</v>
      </c>
      <c r="B12" s="9" t="s">
        <v>299</v>
      </c>
      <c r="C12" s="9" t="s">
        <v>300</v>
      </c>
      <c r="D12" s="9" t="s">
        <v>301</v>
      </c>
    </row>
    <row r="13" spans="1:4" ht="61.5" customHeight="1" x14ac:dyDescent="0.3">
      <c r="A13" s="9">
        <v>9</v>
      </c>
      <c r="B13" s="9" t="s">
        <v>302</v>
      </c>
      <c r="C13" s="9" t="s">
        <v>303</v>
      </c>
      <c r="D13" s="9" t="s">
        <v>304</v>
      </c>
    </row>
    <row r="14" spans="1:4" ht="61.5" customHeight="1" x14ac:dyDescent="0.3">
      <c r="A14" s="9">
        <v>10</v>
      </c>
      <c r="B14" s="9" t="s">
        <v>305</v>
      </c>
      <c r="C14" s="9" t="s">
        <v>306</v>
      </c>
      <c r="D14" s="9" t="s">
        <v>307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Misiones</vt:lpstr>
      <vt:lpstr>Industria nacional</vt:lpstr>
      <vt:lpstr>Total sistema</vt:lpstr>
      <vt:lpstr>Causas y riesgos</vt:lpstr>
      <vt:lpstr>Indicadores</vt:lpstr>
      <vt:lpstr>Fuentes</vt:lpstr>
      <vt:lpstr>Limitaciones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Damian Barboza</cp:lastModifiedBy>
  <cp:revision>1</cp:revision>
  <dcterms:created xsi:type="dcterms:W3CDTF">2026-09-30T19:39:28Z</dcterms:created>
  <dcterms:modified xsi:type="dcterms:W3CDTF">2026-09-30T20:04:07Z</dcterms:modified>
  <dc:language>en-US</dc:language>
</cp:coreProperties>
</file>