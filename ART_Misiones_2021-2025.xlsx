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Sistema ART" sheetId="2" state="visible" r:id="rId2"/>
    <sheet xmlns:r="http://schemas.openxmlformats.org/officeDocument/2006/relationships" name="Cuota y alícuota" sheetId="3" state="visible" r:id="rId3"/>
    <sheet xmlns:r="http://schemas.openxmlformats.org/officeDocument/2006/relationships" name="Factores de costo" sheetId="4" state="visible" r:id="rId4"/>
    <sheet xmlns:r="http://schemas.openxmlformats.org/officeDocument/2006/relationships" name="Normativa" sheetId="5" state="visible" r:id="rId5"/>
    <sheet xmlns:r="http://schemas.openxmlformats.org/officeDocument/2006/relationships" name="Prevención" sheetId="6" state="visible" r:id="rId6"/>
    <sheet xmlns:r="http://schemas.openxmlformats.org/officeDocument/2006/relationships" name="Papel y celulosa" sheetId="7" state="visible" r:id="rId7"/>
    <sheet xmlns:r="http://schemas.openxmlformats.org/officeDocument/2006/relationships" name="Fuentes" sheetId="8" state="visible" r:id="rId8"/>
    <sheet xmlns:r="http://schemas.openxmlformats.org/officeDocument/2006/relationships" name="Limitaciones" sheetId="9" state="visible" r:id="rId9"/>
  </sheets>
  <definedNames>
    <definedName name="_xlnm._FilterDatabase" localSheetId="1" hidden="1">'Sistema ART'!$A$4:$E$25</definedName>
    <definedName name="_xlnm._FilterDatabase" localSheetId="3" hidden="1">'Factores de costo'!$A$4:$E$15</definedName>
    <definedName name="_xlnm._FilterDatabase" localSheetId="4" hidden="1">'Normativa'!$A$4:$I$22</definedName>
    <definedName name="_xlnm._FilterDatabase" localSheetId="5" hidden="1">'Prevención'!$A$4:$E$14</definedName>
    <definedName name="_xlnm._FilterDatabase" localSheetId="6" hidden="1">'Papel y celulosa'!$A$4:$G$17</definedName>
    <definedName name="_xlnm._FilterDatabase" localSheetId="7" hidden="1">'Fuentes'!$A$4:$G$19</definedName>
    <definedName name="_xlnm._FilterDatabase" localSheetId="8" hidden="1">'Limitaciones'!$A$4:$D$14</definedName>
  </definedNames>
  <calcPr calcId="124519" fullCalcOnLoad="1"/>
</workbook>
</file>

<file path=xl/styles.xml><?xml version="1.0" encoding="utf-8"?>
<styleSheet xmlns="http://schemas.openxmlformats.org/spreadsheetml/2006/main">
  <numFmts count="1">
    <numFmt numFmtId="164" formatCode="&quot;$&quot; #,##0.00"/>
  </numFmts>
  <fonts count="12">
    <font>
      <name val="Calibri"/>
      <family val="2"/>
      <color theme="1"/>
      <sz val="11"/>
      <scheme val="minor"/>
    </font>
    <font>
      <name val="Arial"/>
      <b val="1"/>
      <color rgb="001F3864"/>
      <sz val="14"/>
    </font>
    <font>
      <name val="Arial"/>
      <b val="1"/>
      <sz val="10"/>
    </font>
    <font>
      <name val="Arial"/>
      <sz val="10"/>
    </font>
    <font>
      <name val="Arial"/>
      <b val="1"/>
      <color rgb="001F3864"/>
      <sz val="10"/>
    </font>
    <font>
      <name val="Arial"/>
      <color rgb="000563C1"/>
      <sz val="10"/>
      <u val="single"/>
    </font>
    <font>
      <name val="Arial"/>
      <i val="1"/>
      <color rgb="00595959"/>
      <sz val="9"/>
    </font>
    <font>
      <name val="Arial"/>
      <b val="1"/>
      <color rgb="00FFFFFF"/>
      <sz val="10"/>
    </font>
    <font>
      <name val="Arial"/>
      <sz val="9"/>
    </font>
    <font>
      <name val="Arial"/>
      <color rgb="000000FF"/>
      <sz val="10"/>
    </font>
    <font>
      <name val="Arial"/>
      <b val="1"/>
      <sz val="9"/>
    </font>
    <font>
      <name val="Arial"/>
      <color rgb="000563C1"/>
      <sz val="9"/>
      <u val="single"/>
    </font>
  </fonts>
  <fills count="8">
    <fill>
      <patternFill/>
    </fill>
    <fill>
      <patternFill patternType="gray125"/>
    </fill>
    <fill>
      <patternFill patternType="solid">
        <fgColor rgb="00D9E2F3"/>
      </patternFill>
    </fill>
    <fill>
      <patternFill patternType="solid">
        <fgColor rgb="001F3864"/>
      </patternFill>
    </fill>
    <fill>
      <patternFill patternType="solid">
        <fgColor rgb="00FFFF00"/>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0" pivotButton="0" quotePrefix="0" xfId="0"/>
    <xf numFmtId="0" fontId="0" fillId="2" borderId="0" pivotButton="0" quotePrefix="0" xfId="0"/>
    <xf numFmtId="0" fontId="5" fillId="0" borderId="0" pivotButton="0" quotePrefix="0" xfId="0"/>
    <xf numFmtId="0" fontId="1" fillId="0" borderId="0" pivotButton="0" quotePrefix="0" xfId="0"/>
    <xf numFmtId="0" fontId="6" fillId="0" borderId="0" applyAlignment="1" pivotButton="0" quotePrefix="0" xfId="0">
      <alignment/>
    </xf>
    <xf numFmtId="0" fontId="7" fillId="3" borderId="1" applyAlignment="1" pivotButton="0" quotePrefix="0" xfId="0">
      <alignment horizontal="center" vertical="center" wrapText="1"/>
    </xf>
    <xf numFmtId="0" fontId="8" fillId="0" borderId="1" applyAlignment="1" pivotButton="0" quotePrefix="0" xfId="0">
      <alignment vertical="top" wrapText="1"/>
    </xf>
    <xf numFmtId="0" fontId="2" fillId="0" borderId="1" applyAlignment="1" pivotButton="0" quotePrefix="0" xfId="0">
      <alignment vertical="top" wrapText="1"/>
    </xf>
    <xf numFmtId="3" fontId="9" fillId="4" borderId="1" applyAlignment="1" pivotButton="0" quotePrefix="0" xfId="0">
      <alignment vertical="top" wrapText="1"/>
    </xf>
    <xf numFmtId="0" fontId="8" fillId="4" borderId="1" applyAlignment="1" pivotButton="0" quotePrefix="0" xfId="0">
      <alignment vertical="top" wrapText="1"/>
    </xf>
    <xf numFmtId="164" fontId="9" fillId="4" borderId="1" applyAlignment="1" pivotButton="0" quotePrefix="0" xfId="0">
      <alignment vertical="top" wrapText="1"/>
    </xf>
    <xf numFmtId="10" fontId="9" fillId="4" borderId="1" applyAlignment="1" pivotButton="0" quotePrefix="0" xfId="0">
      <alignment vertical="top" wrapText="1"/>
    </xf>
    <xf numFmtId="0" fontId="10" fillId="0" borderId="1" applyAlignment="1" pivotButton="0" quotePrefix="0" xfId="0">
      <alignment vertical="top" wrapText="1"/>
    </xf>
    <xf numFmtId="164" fontId="10" fillId="0" borderId="1" applyAlignment="1" pivotButton="0" quotePrefix="0" xfId="0">
      <alignment vertical="top" wrapText="1"/>
    </xf>
    <xf numFmtId="10" fontId="10" fillId="0" borderId="1" applyAlignment="1" pivotButton="0" quotePrefix="0" xfId="0">
      <alignment vertical="top" wrapText="1"/>
    </xf>
    <xf numFmtId="0" fontId="8" fillId="0" borderId="0" applyAlignment="1" pivotButton="0" quotePrefix="0" xfId="0">
      <alignment vertical="top" wrapText="1"/>
    </xf>
    <xf numFmtId="0" fontId="7" fillId="3" borderId="1" pivotButton="0" quotePrefix="0" xfId="0"/>
    <xf numFmtId="0" fontId="10" fillId="5" borderId="1" applyAlignment="1" pivotButton="0" quotePrefix="0" xfId="0">
      <alignment vertical="top" wrapText="1"/>
    </xf>
    <xf numFmtId="0" fontId="11" fillId="0"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boletinoficial.gob.ar/detalleAviso/primera/247981/20210811" TargetMode="External" Id="rId1"/><Relationship Type="http://schemas.openxmlformats.org/officeDocument/2006/relationships/hyperlink" Target="https://www.argentina.gob.ar/sites/default/files/actualizacion_normativa_2022_-2.pdf" TargetMode="External" Id="rId2"/><Relationship Type="http://schemas.openxmlformats.org/officeDocument/2006/relationships/hyperlink" Target="https://www.argentina.gob.ar/normativa/nacional/resoluci%C3%B3n-61-2023-394625/texto" TargetMode="External" Id="rId3"/><Relationship Type="http://schemas.openxmlformats.org/officeDocument/2006/relationships/hyperlink" Target="https://siap.blogdelcontador.com.ar/?p=54143" TargetMode="External" Id="rId4"/><Relationship Type="http://schemas.openxmlformats.org/officeDocument/2006/relationships/hyperlink" Target="https://aldiaargentina.microjuris.com/2026/05/19/legislacion-riesgos-del-trabajo-nuevos-parametros-de-referencia-para-el-calculo-de-deudas-por-falta-de-afiliacion-al-sistema/" TargetMode="External" Id="rId5"/><Relationship Type="http://schemas.openxmlformats.org/officeDocument/2006/relationships/hyperlink" Target="https://www.boletinoficial.gob.ar/detalleAviso/primera/317574/1" TargetMode="External" Id="rId6"/><Relationship Type="http://schemas.openxmlformats.org/officeDocument/2006/relationships/hyperlink" Target="https://www.boletinoficial.gob.ar/detalleAviso/primera/315671/1" TargetMode="External" Id="rId7"/><Relationship Type="http://schemas.openxmlformats.org/officeDocument/2006/relationships/hyperlink" Target="https://siap.blogdelcontador.com.ar/?p=84719" TargetMode="External" Id="rId8"/><Relationship Type="http://schemas.openxmlformats.org/officeDocument/2006/relationships/hyperlink" Target="https://servicios.infoleg.gob.ar/infolegInternet/anexos/25000-29999/27971/texact.htm" TargetMode="External" Id="rId9"/><Relationship Type="http://schemas.openxmlformats.org/officeDocument/2006/relationships/hyperlink" Target="https://docs.argentina.justia.com/federales/decretos/decreto-n-717-1996-jul-12-1996.pdf" TargetMode="External" Id="rId10"/><Relationship Type="http://schemas.openxmlformats.org/officeDocument/2006/relationships/hyperlink" Target="https://www.argentina.gob.ar/node/127740" TargetMode="External" Id="rId11"/><Relationship Type="http://schemas.openxmlformats.org/officeDocument/2006/relationships/hyperlink" Target="https://www.boletinoficial.gob.ar/detalleAviso/primera/180086/20180313" TargetMode="External" Id="rId12"/></Relationships>
</file>

<file path=xl/worksheets/_rels/sheet8.xml.rels><Relationships xmlns="http://schemas.openxmlformats.org/package/2006/relationships"><Relationship Type="http://schemas.openxmlformats.org/officeDocument/2006/relationships/hyperlink" Target="https://www.boletinoficial.gob.ar/detalleAviso/primera/247981/20210811" TargetMode="External" Id="rId1"/><Relationship Type="http://schemas.openxmlformats.org/officeDocument/2006/relationships/hyperlink" Target="https://www.argentina.gob.ar/sites/default/files/actualizacion_normativa_2022_-2.pdf" TargetMode="External" Id="rId2"/><Relationship Type="http://schemas.openxmlformats.org/officeDocument/2006/relationships/hyperlink" Target="https://www.argentina.gob.ar/normativa/nacional/resoluci%C3%B3n-61-2023-394625/texto" TargetMode="External" Id="rId3"/><Relationship Type="http://schemas.openxmlformats.org/officeDocument/2006/relationships/hyperlink" Target="https://siap.blogdelcontador.com.ar/?p=54143" TargetMode="External" Id="rId4"/><Relationship Type="http://schemas.openxmlformats.org/officeDocument/2006/relationships/hyperlink" Target="https://aldiaargentina.microjuris.com/2026/05/19/legislacion-riesgos-del-trabajo-nuevos-parametros-de-referencia-para-el-calculo-de-deudas-por-falta-de-afiliacion-al-sistema/" TargetMode="External" Id="rId5"/><Relationship Type="http://schemas.openxmlformats.org/officeDocument/2006/relationships/hyperlink" Target="https://siap.blogdelcontador.com.ar/?p=84719" TargetMode="External" Id="rId6"/><Relationship Type="http://schemas.openxmlformats.org/officeDocument/2006/relationships/hyperlink" Target="https://www.boletinoficial.gob.ar/detalleAviso/primera/317574/1" TargetMode="External" Id="rId7"/><Relationship Type="http://schemas.openxmlformats.org/officeDocument/2006/relationships/hyperlink" Target="https://www.boletinoficial.gob.ar/detalleAviso/primera/315671/1" TargetMode="External" Id="rId8"/><Relationship Type="http://schemas.openxmlformats.org/officeDocument/2006/relationships/hyperlink" Target="https://www.boletinoficial.gob.ar/detalleAviso/primera/180086/20180313" TargetMode="External" Id="rId9"/><Relationship Type="http://schemas.openxmlformats.org/officeDocument/2006/relationships/hyperlink" Target="https://www.argentina.gob.ar/node/127740" TargetMode="External" Id="rId10"/><Relationship Type="http://schemas.openxmlformats.org/officeDocument/2006/relationships/hyperlink" Target="https://www.argentina.gob.ar/node/128529" TargetMode="External" Id="rId11"/><Relationship Type="http://schemas.openxmlformats.org/officeDocument/2006/relationships/hyperlink" Target="https://servicios.infoleg.gob.ar/infolegInternet/anexos/25000-29999/27971/texact.htm" TargetMode="External" Id="rId12"/><Relationship Type="http://schemas.openxmlformats.org/officeDocument/2006/relationships/hyperlink" Target="https://docs.argentina.justia.com/federales/decretos/decreto-n-717-1996-jul-12-1996.pdf" TargetMode="External" Id="rId13"/><Relationship Type="http://schemas.openxmlformats.org/officeDocument/2006/relationships/hyperlink" Target="https://www.argentina.gob.ar/ssn" TargetMode="External" Id="rId14"/></Relationships>
</file>

<file path=xl/worksheets/sheet1.xml><?xml version="1.0" encoding="utf-8"?>
<worksheet xmlns="http://schemas.openxmlformats.org/spreadsheetml/2006/main">
  <sheetPr>
    <outlinePr summaryBelow="1" summaryRight="1"/>
    <pageSetUpPr fitToPage="1"/>
  </sheetPr>
  <dimension ref="A1:B21"/>
  <sheetViews>
    <sheetView showGridLines="0" workbookViewId="0">
      <selection activeCell="A1" sqref="A1"/>
    </sheetView>
  </sheetViews>
  <sheetFormatPr baseColWidth="8" defaultRowHeight="15"/>
  <cols>
    <col width="28" customWidth="1" min="1" max="1"/>
    <col width="100" customWidth="1" min="2" max="2"/>
  </cols>
  <sheetData>
    <row r="1" ht="42" customHeight="1">
      <c r="A1" s="1" t="inlineStr">
        <is>
          <t>Seguridad e Higiene Laboral: análisis de la accidentabilidad en la industria de Misiones y su relación con el sistema de ART (2021-2025)</t>
        </is>
      </c>
    </row>
    <row r="3">
      <c r="A3" s="2" t="inlineStr">
        <is>
          <t>Tipo de trabajo</t>
        </is>
      </c>
      <c r="B3" s="3" t="inlineStr">
        <is>
          <t>Trabajo académico – carrera de Seguridad e Higiene Laboral. Libro de apoyo en Excel.</t>
        </is>
      </c>
    </row>
    <row r="4">
      <c r="A4" s="2" t="inlineStr">
        <is>
          <t>Objetivo</t>
        </is>
      </c>
      <c r="B4" s="3" t="inlineStr">
        <is>
          <t>Explicar el funcionamiento del sistema de Aseguradoras de Riesgos del Trabajo (ART), analizar la composición de la cuota, identificar los factores que influyen en las alícuotas y estudiar la relación entre siniestralidad, prevención y costos para los empleadores.</t>
        </is>
      </c>
    </row>
    <row r="5">
      <c r="A5" s="2" t="inlineStr">
        <is>
          <t>Período analizado</t>
        </is>
      </c>
      <c r="B5" s="3" t="inlineStr">
        <is>
          <t>2021-2025 (normativa y marco conceptual). No se incluyen series estadísticas de alícuotas ni de siniestralidad de Misiones: no se dispuso de datos reales verificables.</t>
        </is>
      </c>
    </row>
    <row r="6">
      <c r="A6" s="2" t="inlineStr">
        <is>
          <t>Alcance</t>
        </is>
      </c>
      <c r="B6" s="3" t="inlineStr">
        <is>
          <t>Marco normativo e institucional del sistema de Riesgos del Trabajo en Argentina; estructura conceptual de la cuota; matriz de riesgos técnicos de la actividad papel y celulosa. No incluye valores monetarios de empresas.</t>
        </is>
      </c>
    </row>
    <row r="7">
      <c r="A7" s="2" t="inlineStr">
        <is>
          <t>Metodología</t>
        </is>
      </c>
      <c r="B7" s="3" t="inlineStr">
        <is>
          <t>1) Revisión del documento de investigación aportado. 2) Verificación de normas en fuentes oficiales (Boletín Oficial, argentina.gob.ar/normativa, Infoleg) y, cuando no hubo acceso oficial, en fuentes secundarias identificadas como tales. 3) Cada norma se clasifica como Verificada / Parcial / Pendiente de verificación. 4) Cada contenido se rotula como Normativo, Conceptual, Hipótesis de análisis o No disponible.</t>
        </is>
      </c>
    </row>
    <row r="8">
      <c r="A8" s="2" t="inlineStr">
        <is>
          <t>Fecha de consulta</t>
        </is>
      </c>
      <c r="B8" s="3" t="inlineStr">
        <is>
          <t>30/09/2026. La vigencia de cada norma debe reconfirmarse antes de citarla en la versión final.</t>
        </is>
      </c>
    </row>
    <row r="9">
      <c r="A9" s="2" t="inlineStr">
        <is>
          <t>Regla de integridad</t>
        </is>
      </c>
      <c r="B9" s="3" t="inlineStr">
        <is>
          <t>No se inventan alícuotas, cuotas, porcentajes, costos ni series históricas. Una alícuota promedio nacional no equivale a la alícuota de una empresa de Misiones. Donde falta información se indica "No disponible".</t>
        </is>
      </c>
    </row>
    <row r="10">
      <c r="A10" s="2" t="inlineStr">
        <is>
          <t>Rótulos de información</t>
        </is>
      </c>
      <c r="B10" s="3" t="inlineStr">
        <is>
          <t>Normativo (verificado) · Normativo (a confirmar) · Conceptual · Hipótesis de análisis · Conocimiento técnico general · No disponible</t>
        </is>
      </c>
    </row>
    <row r="11">
      <c r="A11" s="2" t="inlineStr">
        <is>
          <t>Gráficos</t>
        </is>
      </c>
      <c r="B11" s="3" t="inlineStr">
        <is>
          <t>No se incluyen: no existen datos numéricos comparables y verificables para construirlos.</t>
        </is>
      </c>
    </row>
    <row r="13">
      <c r="A13" s="4" t="inlineStr">
        <is>
          <t>Índice de hojas (clic para ir)</t>
        </is>
      </c>
      <c r="B13" s="5" t="n"/>
    </row>
    <row r="14">
      <c r="A14" s="6">
        <f>HYPERLINK("#'Sistema ART'!A1","Sistema ART")</f>
        <v/>
      </c>
    </row>
    <row r="15">
      <c r="A15" s="6">
        <f>HYPERLINK("#'Cuota y alícuota'!A1","Cuota y alícuota")</f>
        <v/>
      </c>
    </row>
    <row r="16">
      <c r="A16" s="6">
        <f>HYPERLINK("#'Factores de costo'!A1","Factores de costo")</f>
        <v/>
      </c>
    </row>
    <row r="17">
      <c r="A17" s="6">
        <f>HYPERLINK("#'Normativa'!A1","Normativa")</f>
        <v/>
      </c>
    </row>
    <row r="18">
      <c r="A18" s="6">
        <f>HYPERLINK("#'Prevención'!A1","Prevención")</f>
        <v/>
      </c>
    </row>
    <row r="19">
      <c r="A19" s="6">
        <f>HYPERLINK("#'Papel y celulosa'!A1","Papel y celulosa")</f>
        <v/>
      </c>
    </row>
    <row r="20">
      <c r="A20" s="6">
        <f>HYPERLINK("#'Fuentes'!A1","Fuentes")</f>
        <v/>
      </c>
    </row>
    <row r="21">
      <c r="A21" s="6">
        <f>HYPERLINK("#'Limitaciones'!A1","Limitaciones")</f>
        <v/>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5"/>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70" customWidth="1" min="3" max="3"/>
    <col width="26" customWidth="1" min="4" max="4"/>
    <col width="38" customWidth="1" min="5" max="5"/>
  </cols>
  <sheetData>
    <row r="1">
      <c r="A1" s="7" t="inlineStr">
        <is>
          <t>Funcionamiento del sistema de Riesgos del Trabajo (ART)</t>
        </is>
      </c>
    </row>
    <row r="2">
      <c r="A2" s="8" t="inlineStr">
        <is>
          <t>Base: Ley 24.557 y normas complementarias. La columna "Tipo de información" indica el respaldo de cada fila.</t>
        </is>
      </c>
    </row>
    <row r="4">
      <c r="A4" s="9" t="inlineStr">
        <is>
          <t>Categoría</t>
        </is>
      </c>
      <c r="B4" s="9" t="inlineStr">
        <is>
          <t>Elemento</t>
        </is>
      </c>
      <c r="C4" s="9" t="inlineStr">
        <is>
          <t>Descripción</t>
        </is>
      </c>
      <c r="D4" s="9" t="inlineStr">
        <is>
          <t>Tipo de información</t>
        </is>
      </c>
      <c r="E4" s="9" t="inlineStr">
        <is>
          <t>Fuente / observación</t>
        </is>
      </c>
    </row>
    <row r="5">
      <c r="A5" s="10" t="inlineStr">
        <is>
          <t>Actores</t>
        </is>
      </c>
      <c r="B5" s="10" t="inlineStr">
        <is>
          <t>Superintendencia de Riesgos del Trabajo (SRT)</t>
        </is>
      </c>
      <c r="C5" s="10" t="inlineStr">
        <is>
          <t>Entidad autárquica creada por la Ley 24.557 (art. 35). Entre sus funciones (art. 36) están controlar el cumplimiento de las normas de higiene y seguridad y supervisar y fiscalizar a las ART y al sistema.</t>
        </is>
      </c>
      <c r="D5" s="10" t="inlineStr">
        <is>
          <t>Normativo (verificado)</t>
        </is>
      </c>
      <c r="E5" s="10" t="inlineStr">
        <is>
          <t>Considerandos de Res. SRT 69/2024 y 79/2024 (Boletín Oficial).</t>
        </is>
      </c>
    </row>
    <row r="6">
      <c r="A6" s="10" t="inlineStr">
        <is>
          <t>Actores</t>
        </is>
      </c>
      <c r="B6" s="10" t="inlineStr">
        <is>
          <t>Superintendencia de Seguros de la Nación (SSN)</t>
        </is>
      </c>
      <c r="C6" s="10" t="inlineStr">
        <is>
          <t>Organismo de control del mercado asegurador. Interviene junto con la SRT en resoluciones conjuntas (p. ej., Res. Conjuntas SRT-SSN listadas en la compilación normativa SRT 2022).</t>
        </is>
      </c>
      <c r="D6" s="10" t="inlineStr">
        <is>
          <t>Normativo (a confirmar)</t>
        </is>
      </c>
      <c r="E6" s="10" t="inlineStr">
        <is>
          <t>Alcance exacto de su rol: confirmar en sitio SSN (ssn.gob.ar).</t>
        </is>
      </c>
    </row>
    <row r="7">
      <c r="A7" s="10" t="inlineStr">
        <is>
          <t>Actores</t>
        </is>
      </c>
      <c r="B7" s="10" t="inlineStr">
        <is>
          <t>Aseguradoras de Riesgos del Trabajo (ART)</t>
        </is>
      </c>
      <c r="C7" s="10" t="inlineStr">
        <is>
          <t>Entidades privadas o mutuales autorizadas a operar y afiliar en seguros de riesgos del trabajo. Promueven la prevención y otorgan las prestaciones.</t>
        </is>
      </c>
      <c r="D7" s="10" t="inlineStr">
        <is>
          <t>Normativo (verificado)</t>
        </is>
      </c>
      <c r="E7" s="10" t="inlineStr">
        <is>
          <t>Res. SRT 61/2023 (considerandos); compilación normativa SRT 2022.</t>
        </is>
      </c>
    </row>
    <row r="8">
      <c r="A8" s="10" t="inlineStr">
        <is>
          <t>Actores</t>
        </is>
      </c>
      <c r="B8" s="10" t="inlineStr">
        <is>
          <t>Empleador</t>
        </is>
      </c>
      <c r="C8" s="10" t="inlineStr">
        <is>
          <t>Debe asegurarse en una ART (o ser autoasegurado si cumple requisitos), cumplir las normas de higiene y seguridad y recibir el asesoramiento de su ART.</t>
        </is>
      </c>
      <c r="D8" s="10" t="inlineStr">
        <is>
          <t>Normativo (verificado)</t>
        </is>
      </c>
      <c r="E8" s="10" t="inlineStr">
        <is>
          <t>Infoleg Ley 24.557 (afiliación obligatoria / autoseguro); Res. SRT 61/2023.</t>
        </is>
      </c>
    </row>
    <row r="9">
      <c r="A9" s="10" t="inlineStr">
        <is>
          <t>Actores</t>
        </is>
      </c>
      <c r="B9" s="10" t="inlineStr">
        <is>
          <t>Trabajador</t>
        </is>
      </c>
      <c r="C9" s="10" t="inlineStr">
        <is>
          <t>Recibe información y capacitación en prevención, participa de las acciones preventivas e informa al empleador los hechos que conozca vinculados con riesgos del trabajo.</t>
        </is>
      </c>
      <c r="D9" s="10" t="inlineStr">
        <is>
          <t>Normativo (verificado)</t>
        </is>
      </c>
      <c r="E9" s="10" t="inlineStr">
        <is>
          <t>Infoleg Ley 24.557 (texto consultado).</t>
        </is>
      </c>
    </row>
    <row r="10">
      <c r="A10" s="10" t="inlineStr">
        <is>
          <t>Objetivos</t>
        </is>
      </c>
      <c r="B10" s="10" t="inlineStr">
        <is>
          <t>Prevenir los riesgos laborales</t>
        </is>
      </c>
      <c r="C10" s="10" t="inlineStr">
        <is>
          <t>Reducir la siniestralidad mediante la prevención de los riesgos derivados del trabajo (art. 1, ap. 2, inc. a).</t>
        </is>
      </c>
      <c r="D10" s="10" t="inlineStr">
        <is>
          <t>Normativo (verificado)</t>
        </is>
      </c>
      <c r="E10" s="10" t="inlineStr">
        <is>
          <t>Considerandos de Res. SRT 61/2023 y 29/2020.</t>
        </is>
      </c>
    </row>
    <row r="11">
      <c r="A11" s="10" t="inlineStr">
        <is>
          <t>Objetivos</t>
        </is>
      </c>
      <c r="B11" s="10" t="inlineStr">
        <is>
          <t>Reparar daños de accidentes y enfermedades profesionales</t>
        </is>
      </c>
      <c r="C11" s="10" t="inlineStr">
        <is>
          <t>Reparación de los daños derivados de accidentes de trabajo y enfermedades profesionales.</t>
        </is>
      </c>
      <c r="D11" s="10" t="inlineStr">
        <is>
          <t>Normativo (a confirmar)</t>
        </is>
      </c>
      <c r="E11" s="10" t="inlineStr">
        <is>
          <t>Según material de partida; confirmar en texto de Ley 24.557.</t>
        </is>
      </c>
    </row>
    <row r="12">
      <c r="A12" s="10" t="inlineStr">
        <is>
          <t>Objetivos</t>
        </is>
      </c>
      <c r="B12" s="10" t="inlineStr">
        <is>
          <t>Rehabilitar a los damnificados</t>
        </is>
      </c>
      <c r="C12" s="10" t="inlineStr">
        <is>
          <t>Rehabilitación de las personas damnificadas.</t>
        </is>
      </c>
      <c r="D12" s="10" t="inlineStr">
        <is>
          <t>Normativo (a confirmar)</t>
        </is>
      </c>
      <c r="E12" s="10" t="inlineStr">
        <is>
          <t>Según material de partida.</t>
        </is>
      </c>
    </row>
    <row r="13">
      <c r="A13" s="10" t="inlineStr">
        <is>
          <t>Objetivos</t>
        </is>
      </c>
      <c r="B13" s="10" t="inlineStr">
        <is>
          <t>Recalificación o reinserción laboral</t>
        </is>
      </c>
      <c r="C13" s="10" t="inlineStr">
        <is>
          <t>Favorecer la recalificación o reinserción laboral de las personas damnificadas.</t>
        </is>
      </c>
      <c r="D13" s="10" t="inlineStr">
        <is>
          <t>Normativo (a confirmar)</t>
        </is>
      </c>
      <c r="E13" s="10" t="inlineStr">
        <is>
          <t>Según material de partida.</t>
        </is>
      </c>
    </row>
    <row r="14">
      <c r="A14" s="10" t="inlineStr">
        <is>
          <t>Cobertura</t>
        </is>
      </c>
      <c r="B14" s="10" t="inlineStr">
        <is>
          <t>Obligatoriedad</t>
        </is>
      </c>
      <c r="C14" s="10" t="inlineStr">
        <is>
          <t>La cobertura es obligatoria para empleadores con trabajadores en relación de dependencia, salvo autoseguro legalmente habilitado. Quienes no acrediten los requisitos de autoseguro deben asegurarse en una ART de su libre elección.</t>
        </is>
      </c>
      <c r="D14" s="10" t="inlineStr">
        <is>
          <t>Normativo (verificado)</t>
        </is>
      </c>
      <c r="E14" s="10" t="inlineStr">
        <is>
          <t>Infoleg Ley 24.557 (extracto); Res. SRT 3528/2015 (autoseguro) citada por SRT: no verificada en este libro.</t>
        </is>
      </c>
    </row>
    <row r="15">
      <c r="A15" s="10" t="inlineStr">
        <is>
          <t>Prestaciones</t>
        </is>
      </c>
      <c r="B15" s="10" t="inlineStr">
        <is>
          <t>En especie</t>
        </is>
      </c>
      <c r="C15" s="10" t="inlineStr">
        <is>
          <t>Asistencia médica y farmacéutica; rehabilitación; prótesis y ortopedia; recalificación profesional; servicio funerario.</t>
        </is>
      </c>
      <c r="D15" s="10" t="inlineStr">
        <is>
          <t>Normativo (a confirmar)</t>
        </is>
      </c>
      <c r="E15" s="10" t="inlineStr">
        <is>
          <t>Según material de partida; confirmar en Ley 24.557.</t>
        </is>
      </c>
    </row>
    <row r="16">
      <c r="A16" s="10" t="inlineStr">
        <is>
          <t>Prestaciones</t>
        </is>
      </c>
      <c r="B16" s="10" t="inlineStr">
        <is>
          <t>Dinerarias</t>
        </is>
      </c>
      <c r="C16" s="10" t="inlineStr">
        <is>
          <t>Prestaciones por incapacidad temporaria, incapacidad permanente o fallecimiento. Los montos se actualizan por normas de la SRT (p. ej., RIPTE); no se consignan valores aquí.</t>
        </is>
      </c>
      <c r="D16" s="10" t="inlineStr">
        <is>
          <t>Normativo (a confirmar)</t>
        </is>
      </c>
      <c r="E16" s="10" t="inlineStr">
        <is>
          <t>Res. SRT 18/2024 ejemplifica actualización por RIPTE (no incluida en la tabla normativa). Montos: No disponible.</t>
        </is>
      </c>
    </row>
    <row r="17">
      <c r="A17" s="10" t="inlineStr">
        <is>
          <t>Obligaciones del empleador</t>
        </is>
      </c>
      <c r="B17" s="10" t="inlineStr">
        <is>
          <t>Declarar a sus trabajadores</t>
        </is>
      </c>
      <c r="C17" s="10" t="inlineStr">
        <is>
          <t>Declarar la nómina de trabajadores asegurados.</t>
        </is>
      </c>
      <c r="D17" s="10" t="inlineStr">
        <is>
          <t>Normativo (a confirmar)</t>
        </is>
      </c>
      <c r="E17" s="10" t="inlineStr">
        <is>
          <t>Según material de partida.</t>
        </is>
      </c>
    </row>
    <row r="18">
      <c r="A18" s="10" t="inlineStr">
        <is>
          <t>Obligaciones del empleador</t>
        </is>
      </c>
      <c r="B18" s="10" t="inlineStr">
        <is>
          <t>Pagar la cuota mensual</t>
        </is>
      </c>
      <c r="C18" s="10" t="inlineStr">
        <is>
          <t>Abonar la cuota a la ART (ver hoja Cuota y alícuota).</t>
        </is>
      </c>
      <c r="D18" s="10" t="inlineStr">
        <is>
          <t>Normativo (a confirmar)</t>
        </is>
      </c>
      <c r="E18" s="10" t="inlineStr">
        <is>
          <t>Según material de partida.</t>
        </is>
      </c>
    </row>
    <row r="19">
      <c r="A19" s="10" t="inlineStr">
        <is>
          <t>Obligaciones del empleador</t>
        </is>
      </c>
      <c r="B19" s="10" t="inlineStr">
        <is>
          <t>Denunciar accidentes y enfermedades profesionales</t>
        </is>
      </c>
      <c r="C19" s="10" t="inlineStr">
        <is>
          <t>Denunciar todo accidente de trabajo o enfermedad profesional de sus dependientes.</t>
        </is>
      </c>
      <c r="D19" s="10" t="inlineStr">
        <is>
          <t>Normativo (verificado)</t>
        </is>
      </c>
      <c r="E19" s="10" t="inlineStr">
        <is>
          <t>Decreto 717/1996 (extracto; fuente secundaria Justia).</t>
        </is>
      </c>
    </row>
    <row r="20">
      <c r="A20" s="10" t="inlineStr">
        <is>
          <t>Obligaciones del empleador</t>
        </is>
      </c>
      <c r="B20" s="10" t="inlineStr">
        <is>
          <t>Cumplir normas de higiene y seguridad</t>
        </is>
      </c>
      <c r="C20" s="10" t="inlineStr">
        <is>
          <t>El empleador conserva la obligación de cumplir las normas de higiene y seguridad aunque reciba asesoramiento de su ART.</t>
        </is>
      </c>
      <c r="D20" s="10" t="inlineStr">
        <is>
          <t>Normativo (verificado)</t>
        </is>
      </c>
      <c r="E20" s="10" t="inlineStr">
        <is>
          <t>Considerandos de Res. SRT 61/2023.</t>
        </is>
      </c>
    </row>
    <row r="21">
      <c r="A21" s="10" t="inlineStr">
        <is>
          <t>Obligaciones del empleador</t>
        </is>
      </c>
      <c r="B21" s="10" t="inlineStr">
        <is>
          <t>Mantener registros de siniestralidad</t>
        </is>
      </c>
      <c r="C21" s="10" t="inlineStr">
        <is>
          <t>Registro de siniestralidad por establecimiento.</t>
        </is>
      </c>
      <c r="D21" s="10" t="inlineStr">
        <is>
          <t>Normativo (a confirmar)</t>
        </is>
      </c>
      <c r="E21" s="10" t="inlineStr">
        <is>
          <t>Frase "mantendrán un registro de siniestralidad por establecimiento" citada en Res. SRT 20/2018 (BO); sujeto obligado a confirmar en la norma de origen.</t>
        </is>
      </c>
    </row>
    <row r="22">
      <c r="A22" s="10" t="inlineStr">
        <is>
          <t>Obligaciones de las ART</t>
        </is>
      </c>
      <c r="B22" s="10" t="inlineStr">
        <is>
          <t>Asesorar en prevención</t>
        </is>
      </c>
      <c r="C22" s="10" t="inlineStr">
        <is>
          <t>Promover la prevención y asesorar al empleador en materia de prevención de riesgos.</t>
        </is>
      </c>
      <c r="D22" s="10" t="inlineStr">
        <is>
          <t>Normativo (verificado)</t>
        </is>
      </c>
      <c r="E22" s="10" t="inlineStr">
        <is>
          <t>Considerandos de Res. SRT 61/2023.</t>
        </is>
      </c>
    </row>
    <row r="23">
      <c r="A23" s="10" t="inlineStr">
        <is>
          <t>Obligaciones de las ART</t>
        </is>
      </c>
      <c r="B23" s="10" t="inlineStr">
        <is>
          <t>Controlar condiciones de trabajo</t>
        </is>
      </c>
      <c r="C23" s="10" t="inlineStr">
        <is>
          <t>Controlar las condiciones de trabajo de los establecimientos afiliados (visitas, planes).</t>
        </is>
      </c>
      <c r="D23" s="10" t="inlineStr">
        <is>
          <t>Normativo (a confirmar)</t>
        </is>
      </c>
      <c r="E23" s="10" t="inlineStr">
        <is>
          <t>Ejemplo verificable: planes de visitas en PESE (Res. SRT 20/2018 / SRT).</t>
        </is>
      </c>
    </row>
    <row r="24">
      <c r="A24" s="10" t="inlineStr">
        <is>
          <t>Obligaciones de las ART</t>
        </is>
      </c>
      <c r="B24" s="10" t="inlineStr">
        <is>
          <t>Registrar la siniestralidad de los establecimientos</t>
        </is>
      </c>
      <c r="C24" s="10" t="inlineStr">
        <is>
          <t>Llevar registro de la siniestralidad por establecimiento.</t>
        </is>
      </c>
      <c r="D24" s="10" t="inlineStr">
        <is>
          <t>Normativo (a confirmar)</t>
        </is>
      </c>
      <c r="E24" s="10" t="inlineStr">
        <is>
          <t>Ver observación sobre Res. SRT 20/2018.</t>
        </is>
      </c>
    </row>
    <row r="25">
      <c r="A25" s="10" t="inlineStr">
        <is>
          <t>Obligaciones de las ART</t>
        </is>
      </c>
      <c r="B25" s="10" t="inlineStr">
        <is>
          <t>Denunciar incumplimientos ante la SRT</t>
        </is>
      </c>
      <c r="C25" s="10" t="inlineStr">
        <is>
          <t>Informar a la SRT los incumplimientos de sus afiliados.</t>
        </is>
      </c>
      <c r="D25" s="10" t="inlineStr">
        <is>
          <t>Normativo (a confirmar)</t>
        </is>
      </c>
      <c r="E25" s="10" t="inlineStr">
        <is>
          <t>Según material de partida; Ley 24.557 menciona que las ART informan a la SRT sobre planes y programas exigidos a las empresas.</t>
        </is>
      </c>
    </row>
  </sheetData>
  <autoFilter ref="A4:E2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23"/>
  <sheetViews>
    <sheetView showGridLines="0" workbookViewId="0">
      <selection pane="bottomLeft" activeCell="A1" sqref="A1"/>
    </sheetView>
  </sheetViews>
  <sheetFormatPr baseColWidth="8" defaultRowHeight="15"/>
  <cols>
    <col width="10" customWidth="1" min="1" max="1"/>
    <col width="32" customWidth="1" min="2" max="2"/>
    <col width="58" customWidth="1" min="3" max="3"/>
    <col width="22" customWidth="1" min="4" max="4"/>
    <col width="22" customWidth="1" min="5" max="5"/>
    <col width="46" customWidth="1" min="6" max="6"/>
  </cols>
  <sheetData>
    <row r="1">
      <c r="A1" s="7" t="inlineStr">
        <is>
          <t>Composición de la cuota y calculadora conceptual</t>
        </is>
      </c>
    </row>
    <row r="2">
      <c r="A2" s="8" t="inlineStr">
        <is>
          <t>Fórmula conceptual: Cuota mensual C = (N × c) + (M × a). Las celdas amarillas se completan SOLO con datos reales documentados.</t>
        </is>
      </c>
    </row>
    <row r="4">
      <c r="A4" s="4" t="inlineStr">
        <is>
          <t>A. Definiciones y datos de entrada</t>
        </is>
      </c>
      <c r="B4" s="5" t="n"/>
      <c r="C4" s="5" t="n"/>
      <c r="D4" s="5" t="n"/>
      <c r="E4" s="5" t="n"/>
      <c r="F4" s="5" t="n"/>
    </row>
    <row r="5">
      <c r="A5" s="9" t="inlineStr">
        <is>
          <t>Símbolo</t>
        </is>
      </c>
      <c r="B5" s="9" t="inlineStr">
        <is>
          <t>Variable</t>
        </is>
      </c>
      <c r="C5" s="9" t="inlineStr">
        <is>
          <t>Definición</t>
        </is>
      </c>
      <c r="D5" s="9" t="inlineStr">
        <is>
          <t>Unidad</t>
        </is>
      </c>
      <c r="E5" s="9" t="inlineStr">
        <is>
          <t>Valor ingresado</t>
        </is>
      </c>
      <c r="F5" s="9" t="inlineStr">
        <is>
          <t>Fuente del valor (obligatoria si se ingresa)</t>
        </is>
      </c>
    </row>
    <row r="6">
      <c r="A6" s="11" t="inlineStr">
        <is>
          <t>N</t>
        </is>
      </c>
      <c r="B6" s="10" t="inlineStr">
        <is>
          <t>Cantidad de trabajadores</t>
        </is>
      </c>
      <c r="C6" s="10" t="inlineStr">
        <is>
          <t>Trabajadores asegurados del establecimiento.</t>
        </is>
      </c>
      <c r="D6" s="10" t="inlineStr">
        <is>
          <t>Personas</t>
        </is>
      </c>
      <c r="E6" s="12" t="n"/>
      <c r="F6" s="13" t="n"/>
    </row>
    <row r="7">
      <c r="A7" s="11" t="inlineStr">
        <is>
          <t>c</t>
        </is>
      </c>
      <c r="B7" s="10" t="inlineStr">
        <is>
          <t>Cápita fija por trabajador</t>
        </is>
      </c>
      <c r="C7" s="10" t="inlineStr">
        <is>
          <t>Importe fijo en pesos por trabajador asegurado (parte fija de la cuota).</t>
        </is>
      </c>
      <c r="D7" s="10" t="inlineStr">
        <is>
          <t>$ por trabajador/mes</t>
        </is>
      </c>
      <c r="E7" s="14" t="n"/>
      <c r="F7" s="13" t="n"/>
    </row>
    <row r="8">
      <c r="A8" s="11" t="inlineStr">
        <is>
          <t>M</t>
        </is>
      </c>
      <c r="B8" s="10" t="inlineStr">
        <is>
          <t>Masa salarial declarada</t>
        </is>
      </c>
      <c r="C8" s="10" t="inlineStr">
        <is>
          <t>Masa salarial bruta declarada del establecimiento.</t>
        </is>
      </c>
      <c r="D8" s="10" t="inlineStr">
        <is>
          <t>$ por mes</t>
        </is>
      </c>
      <c r="E8" s="14" t="n"/>
      <c r="F8" s="13" t="n"/>
    </row>
    <row r="9">
      <c r="A9" s="11" t="inlineStr">
        <is>
          <t>a</t>
        </is>
      </c>
      <c r="B9" s="10" t="inlineStr">
        <is>
          <t>Alícuota porcentual pactada</t>
        </is>
      </c>
      <c r="C9" s="10" t="inlineStr">
        <is>
          <t>Porcentaje aplicado sobre la masa salarial bruta (parte variable). Ingresar como porcentaje (p. ej., 0,50% se escribe 0,5%).</t>
        </is>
      </c>
      <c r="D9" s="10" t="inlineStr">
        <is>
          <t>% de la masa salarial</t>
        </is>
      </c>
      <c r="E9" s="15" t="n"/>
      <c r="F9" s="13" t="n"/>
    </row>
    <row r="11">
      <c r="A11" s="4" t="inlineStr">
        <is>
          <t>B. Resultados (se recalculan al completar los datos; sin datos devuelven "No disponible")</t>
        </is>
      </c>
      <c r="B11" s="5" t="n"/>
      <c r="C11" s="5" t="n"/>
      <c r="D11" s="5" t="n"/>
      <c r="E11" s="5" t="n"/>
      <c r="F11" s="5" t="n"/>
    </row>
    <row r="12">
      <c r="A12" s="16" t="inlineStr">
        <is>
          <t>C</t>
        </is>
      </c>
      <c r="B12" s="10" t="inlineStr">
        <is>
          <t>Cuota mensual</t>
        </is>
      </c>
      <c r="C12" s="10" t="inlineStr">
        <is>
          <t>Cuota mensual = (N × c) + (M × a)</t>
        </is>
      </c>
      <c r="D12" s="10" t="inlineStr">
        <is>
          <t>$ por mes</t>
        </is>
      </c>
      <c r="E12" s="17">
        <f>IF(COUNT(E6:E9)&lt;4,"No disponible",E6*E7+E8*E9)</f>
        <v/>
      </c>
      <c r="F12" s="10" t="inlineStr">
        <is>
          <t>Fórmula completa en la celda E12</t>
        </is>
      </c>
    </row>
    <row r="13">
      <c r="A13" s="16" t="inlineStr">
        <is>
          <t>Fija</t>
        </is>
      </c>
      <c r="B13" s="10" t="inlineStr">
        <is>
          <t>Parte fija</t>
        </is>
      </c>
      <c r="C13" s="10" t="inlineStr">
        <is>
          <t>N × c</t>
        </is>
      </c>
      <c r="D13" s="10" t="inlineStr">
        <is>
          <t>$ por mes</t>
        </is>
      </c>
      <c r="E13" s="17">
        <f>IF(COUNT(E6:E7)&lt;2,"No disponible",E6*E7)</f>
        <v/>
      </c>
      <c r="F13" s="10" t="inlineStr">
        <is>
          <t>Fórmula visible en la celda</t>
        </is>
      </c>
    </row>
    <row r="14">
      <c r="A14" s="16" t="inlineStr">
        <is>
          <t>Var.</t>
        </is>
      </c>
      <c r="B14" s="10" t="inlineStr">
        <is>
          <t>Parte variable</t>
        </is>
      </c>
      <c r="C14" s="10" t="inlineStr">
        <is>
          <t>M × a</t>
        </is>
      </c>
      <c r="D14" s="10" t="inlineStr">
        <is>
          <t>$ por mes</t>
        </is>
      </c>
      <c r="E14" s="17">
        <f>IF(COUNT(E8:E9)&lt;2,"No disponible",E8*E9)</f>
        <v/>
      </c>
      <c r="F14" s="10" t="inlineStr">
        <is>
          <t>Fórmula visible en la celda</t>
        </is>
      </c>
    </row>
    <row r="15">
      <c r="A15" s="16" t="inlineStr">
        <is>
          <t>C/N</t>
        </is>
      </c>
      <c r="B15" s="10" t="inlineStr">
        <is>
          <t>Cuota por trabajador</t>
        </is>
      </c>
      <c r="C15" s="10" t="inlineStr">
        <is>
          <t>C ÷ N (indicador derivado)</t>
        </is>
      </c>
      <c r="D15" s="10" t="inlineStr">
        <is>
          <t>$ por trabajador/mes</t>
        </is>
      </c>
      <c r="E15" s="17">
        <f>IF(AND(ISNUMBER(E12),N(E6)&gt;0),E12/E6,"No disponible")</f>
        <v/>
      </c>
      <c r="F15" s="10" t="inlineStr">
        <is>
          <t>Protegida contra N = 0 o vacío</t>
        </is>
      </c>
    </row>
    <row r="16">
      <c r="A16" s="16" t="inlineStr">
        <is>
          <t>C/M</t>
        </is>
      </c>
      <c r="B16" s="10" t="inlineStr">
        <is>
          <t>Cuota como % de la masa salarial</t>
        </is>
      </c>
      <c r="C16" s="10" t="inlineStr">
        <is>
          <t>C ÷ M (equivale a la alícuota efectiva total, incluida la cápita)</t>
        </is>
      </c>
      <c r="D16" s="10" t="inlineStr">
        <is>
          <t>% de la masa salarial</t>
        </is>
      </c>
      <c r="E16" s="18">
        <f>IF(AND(ISNUMBER(E12),N(E8)&gt;0),E12/E8,"No disponible")</f>
        <v/>
      </c>
      <c r="F16" s="10" t="inlineStr">
        <is>
          <t>Protegida contra M = 0 o vacío</t>
        </is>
      </c>
    </row>
    <row r="18">
      <c r="A18" s="4" t="inlineStr">
        <is>
          <t>C. Notas conceptuales</t>
        </is>
      </c>
      <c r="B18" s="5" t="n"/>
      <c r="C18" s="5" t="n"/>
      <c r="D18" s="5" t="n"/>
      <c r="E18" s="5" t="n"/>
      <c r="F18" s="5" t="n"/>
    </row>
    <row r="19" ht="42" customHeight="1">
      <c r="A19" s="19" t="inlineStr">
        <is>
          <t>Distinguir: la ALÍCUOTA (a) es solo el porcentaje sobre la masa salarial; la CUOTA (C) es el importe mensual total que incluye la cápita fija; el COSTO ECONÓMICO TOTAL de la accidentabilidad es un concepto más amplio (ver hoja Factores de costo).</t>
        </is>
      </c>
    </row>
    <row r="20" ht="42" customHeight="1">
      <c r="A20" s="19" t="inlineStr">
        <is>
          <t>Desfase temporal (según material de partida, atribuido a la SRT): la cuota se calcula tomando como referencia la población trabajadora y la masa salarial del mes anterior. Por eso las estadísticas de cuota, nómina y masa salarial pueden no coincidir con el mes de devengamiento ni con los datos de siniestralidad del mismo período. Confirmar la redacción en el sitio de la SRT.</t>
        </is>
      </c>
    </row>
    <row r="21" ht="42" customHeight="1">
      <c r="A21" s="19" t="inlineStr">
        <is>
          <t>La cuota se fija por establecimiento: dos plantas de una misma empresa podrían tener cuotas distintas (Hipótesis de análisis, a confirmar con la normativa y los contratos vigentes).</t>
        </is>
      </c>
    </row>
    <row r="22" ht="42" customHeight="1">
      <c r="A22" s="19" t="inlineStr">
        <is>
          <t>No se carga un ejemplo numérico: cualquier valor de muestra podría confundirse con una alícuota o cápita real. Para ilustrar el cálculo, ingrese valores propios de una fuente documentada (p. ej., una factura de ART) y cite la fuente en la columna F.</t>
        </is>
      </c>
    </row>
    <row r="23" ht="42" customHeight="1">
      <c r="A23" s="19" t="inlineStr">
        <is>
          <t>Las "alícuotas promedio" que publica la SRT por actividad (hoja Normativa) sirven para determinar deuda de cuota omitida de empleadores no asegurados; NO son la alícuota de una empresa y NO deben usarse para estimar la de Misiones.</t>
        </is>
      </c>
    </row>
  </sheetData>
  <mergeCells count="5">
    <mergeCell ref="A19:F19"/>
    <mergeCell ref="A23:F23"/>
    <mergeCell ref="A22:F22"/>
    <mergeCell ref="A20:F20"/>
    <mergeCell ref="A21:F2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34"/>
  <sheetViews>
    <sheetView showGridLines="0" workbookViewId="0">
      <pane ySplit="4" topLeftCell="A5" activePane="bottomLeft" state="frozen"/>
      <selection pane="bottomLeft" activeCell="A1" sqref="A1"/>
    </sheetView>
  </sheetViews>
  <sheetFormatPr baseColWidth="8" defaultRowHeight="15"/>
  <cols>
    <col width="30" customWidth="1" min="1" max="1"/>
    <col width="62" customWidth="1" min="2" max="2"/>
    <col width="40" customWidth="1" min="3" max="3"/>
    <col width="22" customWidth="1" min="4" max="4"/>
    <col width="26" customWidth="1" min="5" max="5"/>
  </cols>
  <sheetData>
    <row r="1">
      <c r="A1" s="7" t="inlineStr">
        <is>
          <t>Factores que influyen en la cuota y relación siniestralidad-costo</t>
        </is>
      </c>
    </row>
    <row r="2">
      <c r="A2" s="8" t="inlineStr">
        <is>
          <t>Sin ponderaciones: no se asigna peso numérico a ningún factor porque no existe fuente que lo respalde en este trabajo.</t>
        </is>
      </c>
    </row>
    <row r="4">
      <c r="A4" s="9" t="inlineStr">
        <is>
          <t>Factor</t>
        </is>
      </c>
      <c r="B4" s="9" t="inlineStr">
        <is>
          <t>Descripción conceptual</t>
        </is>
      </c>
      <c r="C4" s="9" t="inlineStr">
        <is>
          <t>Dato necesario para cuantificar</t>
        </is>
      </c>
      <c r="D4" s="9" t="inlineStr">
        <is>
          <t>Disponibilidad</t>
        </is>
      </c>
      <c r="E4" s="9" t="inlineStr">
        <is>
          <t>Tipo de información</t>
        </is>
      </c>
    </row>
    <row r="5">
      <c r="A5" s="10" t="inlineStr">
        <is>
          <t>Actividad económica y código CIIU</t>
        </is>
      </c>
      <c r="B5" s="10" t="inlineStr">
        <is>
          <t>La actividad determina el riesgo de referencia del empleador y se identifica con el Clasificador Internacional Industrial Uniforme. La SRT publica alícuotas promedio por actividad CIIU (uso: cuota omitida).</t>
        </is>
      </c>
      <c r="C5" s="10" t="inlineStr">
        <is>
          <t>Código CIIU del establecimiento; alícuota contractual real.</t>
        </is>
      </c>
      <c r="D5" s="10" t="inlineStr">
        <is>
          <t>No disponible</t>
        </is>
      </c>
      <c r="E5" s="10" t="inlineStr">
        <is>
          <t>Conceptual</t>
        </is>
      </c>
    </row>
    <row r="6">
      <c r="A6" s="10" t="inlineStr">
        <is>
          <t>Siniestralidad presunta de la actividad</t>
        </is>
      </c>
      <c r="B6" s="10" t="inlineStr">
        <is>
          <t>Experiencia esperada del conjunto de empleadores de la actividad; actúa como referencia a priori.</t>
        </is>
      </c>
      <c r="C6" s="10" t="inlineStr">
        <is>
          <t>Estadística oficial por CIIU y su uso en la tarifa de cada ART.</t>
        </is>
      </c>
      <c r="D6" s="10" t="inlineStr">
        <is>
          <t>No disponible</t>
        </is>
      </c>
      <c r="E6" s="10" t="inlineStr">
        <is>
          <t>Conceptual</t>
        </is>
      </c>
    </row>
    <row r="7">
      <c r="A7" s="10" t="inlineStr">
        <is>
          <t>Siniestralidad efectiva del empleador</t>
        </is>
      </c>
      <c r="B7" s="10" t="inlineStr">
        <is>
          <t>Resultado propio del establecimiento (frecuencia, gravedad). Puede influir en la renovación o condiciones contractuales, sin regla automática.</t>
        </is>
      </c>
      <c r="C7" s="10" t="inlineStr">
        <is>
          <t>Índice de incidencia, días perdidos, costos de prestaciones del establecimiento.</t>
        </is>
      </c>
      <c r="D7" s="10" t="inlineStr">
        <is>
          <t>No disponible</t>
        </is>
      </c>
      <c r="E7" s="10" t="inlineStr">
        <is>
          <t>Conceptual</t>
        </is>
      </c>
    </row>
    <row r="8">
      <c r="A8" s="10" t="inlineStr">
        <is>
          <t>Cantidad de trabajadores (N)</t>
        </is>
      </c>
      <c r="B8" s="10" t="inlineStr">
        <is>
          <t>Multiplica la cápita fija; además determina la escala (p. ej., PESE exige una nómina mínima según el programa).</t>
        </is>
      </c>
      <c r="C8" s="10" t="inlineStr">
        <is>
          <t>Nómina declarada mensual.</t>
        </is>
      </c>
      <c r="D8" s="10" t="inlineStr">
        <is>
          <t>No disponible</t>
        </is>
      </c>
      <c r="E8" s="10" t="inlineStr">
        <is>
          <t>Conceptual</t>
        </is>
      </c>
    </row>
    <row r="9">
      <c r="A9" s="10" t="inlineStr">
        <is>
          <t>Masa salarial (M)</t>
        </is>
      </c>
      <c r="B9" s="10" t="inlineStr">
        <is>
          <t>Base sobre la que se aplica la alícuota porcentual; crece con salarios e inflación aunque la alícuota no cambie.</t>
        </is>
      </c>
      <c r="C9" s="10" t="inlineStr">
        <is>
          <t>Masa salarial bruta declarada.</t>
        </is>
      </c>
      <c r="D9" s="10" t="inlineStr">
        <is>
          <t>No disponible</t>
        </is>
      </c>
      <c r="E9" s="10" t="inlineStr">
        <is>
          <t>Conceptual</t>
        </is>
      </c>
    </row>
    <row r="10">
      <c r="A10" s="10" t="inlineStr">
        <is>
          <t>Cápita fija (c)</t>
        </is>
      </c>
      <c r="B10" s="10" t="inlineStr">
        <is>
          <t>Importe fijo por trabajador; su actualización incide en la cuota independientemente de la siniestralidad.</t>
        </is>
      </c>
      <c r="C10" s="10" t="inlineStr">
        <is>
          <t>Cápita contractual vigente y su cláusula de actualización.</t>
        </is>
      </c>
      <c r="D10" s="10" t="inlineStr">
        <is>
          <t>No disponible</t>
        </is>
      </c>
      <c r="E10" s="10" t="inlineStr">
        <is>
          <t>Conceptual</t>
        </is>
      </c>
    </row>
    <row r="11">
      <c r="A11" s="10" t="inlineStr">
        <is>
          <t>Inflación y evolución salarial</t>
        </is>
      </c>
      <c r="B11" s="10" t="inlineStr">
        <is>
          <t>Efecto sobre M y sobre la actualización de la cápita; puede aumentar la cuota en pesos sin cambio de riesgo.</t>
        </is>
      </c>
      <c r="C11" s="10" t="inlineStr">
        <is>
          <t>Índices y cláusulas contractuales.</t>
        </is>
      </c>
      <c r="D11" s="10" t="inlineStr">
        <is>
          <t>No disponible</t>
        </is>
      </c>
      <c r="E11" s="10" t="inlineStr">
        <is>
          <t>Conceptual</t>
        </is>
      </c>
    </row>
    <row r="12">
      <c r="A12" s="10" t="inlineStr">
        <is>
          <t>Características del establecimiento</t>
        </is>
      </c>
      <c r="B12" s="10" t="inlineStr">
        <is>
          <t>Procesos, instalaciones, tamaño y gestión preventiva; la cuota se fija por establecimiento, de modo que dos plantas de una misma empresa pueden tener costos distintos.</t>
        </is>
      </c>
      <c r="C12" s="10" t="inlineStr">
        <is>
          <t>Datos por establecimiento.</t>
        </is>
      </c>
      <c r="D12" s="10" t="inlineStr">
        <is>
          <t>No disponible</t>
        </is>
      </c>
      <c r="E12" s="10" t="inlineStr">
        <is>
          <t>Hipótesis de análisis</t>
        </is>
      </c>
    </row>
    <row r="13">
      <c r="A13" s="10" t="inlineStr">
        <is>
          <t>Permanencia en una misma ART</t>
        </is>
      </c>
      <c r="B13" s="10" t="inlineStr">
        <is>
          <t>La antigüedad con una aseguradora podría incidir en condiciones comerciales; no se asume dirección ni magnitud.</t>
        </is>
      </c>
      <c r="C13" s="10" t="inlineStr">
        <is>
          <t>Contrato y condiciones comerciales.</t>
        </is>
      </c>
      <c r="D13" s="10" t="inlineStr">
        <is>
          <t>No disponible</t>
        </is>
      </c>
      <c r="E13" s="10" t="inlineStr">
        <is>
          <t>Hipótesis de análisis</t>
        </is>
      </c>
    </row>
    <row r="14">
      <c r="A14" s="10" t="inlineStr">
        <is>
          <t>Condiciones contractuales permitidas por el régimen vigente</t>
        </is>
      </c>
      <c r="B14" s="10" t="inlineStr">
        <is>
          <t>Las partes pactan dentro de los límites que fije la normativa (p. ej., cuota mínima o pautas de la SSN/SRT).</t>
        </is>
      </c>
      <c r="C14" s="10" t="inlineStr">
        <is>
          <t>Contrato de afiliación; normativa vigente verificada.</t>
        </is>
      </c>
      <c r="D14" s="10" t="inlineStr">
        <is>
          <t>No disponible</t>
        </is>
      </c>
      <c r="E14" s="10" t="inlineStr">
        <is>
          <t>Conceptual</t>
        </is>
      </c>
    </row>
    <row r="15">
      <c r="A15" s="10" t="inlineStr">
        <is>
          <t>Normas aplicables</t>
        </is>
      </c>
      <c r="B15" s="10" t="inlineStr">
        <is>
          <t>Cambios normativos (hoja Normativa) pueden alterar obligaciones, prestaciones y, por ende, el costo del sistema.</t>
        </is>
      </c>
      <c r="C15" s="10" t="inlineStr">
        <is>
          <t>Texto vigente de cada norma.</t>
        </is>
      </c>
      <c r="D15" s="10" t="inlineStr">
        <is>
          <t>Ver hoja Normativa</t>
        </is>
      </c>
      <c r="E15" s="10" t="inlineStr">
        <is>
          <t>Conceptual</t>
        </is>
      </c>
    </row>
    <row r="17">
      <c r="A17" s="4" t="inlineStr">
        <is>
          <t>B. Tres conceptos que no deben confundirse</t>
        </is>
      </c>
      <c r="B17" s="5" t="n"/>
      <c r="C17" s="5" t="n"/>
      <c r="D17" s="5" t="n"/>
      <c r="E17" s="5" t="n"/>
    </row>
    <row r="18">
      <c r="A18" s="10" t="inlineStr">
        <is>
          <t>Alícuota porcentual (a)</t>
        </is>
      </c>
      <c r="B18" s="10" t="inlineStr">
        <is>
          <t>Porcentaje sobre la masa salarial. Es solo una parte de la cuota.</t>
        </is>
      </c>
      <c r="C18" s="10" t="inlineStr">
        <is>
          <t>No disponible</t>
        </is>
      </c>
      <c r="D18" s="10" t="inlineStr">
        <is>
          <t>—</t>
        </is>
      </c>
      <c r="E18" s="10" t="inlineStr">
        <is>
          <t>Conceptual</t>
        </is>
      </c>
    </row>
    <row r="19">
      <c r="A19" s="10" t="inlineStr">
        <is>
          <t>Cuota total mensual (C)</t>
        </is>
      </c>
      <c r="B19" s="10" t="inlineStr">
        <is>
          <t>(N × c) + (M × a). Es lo que el empleador paga a la ART.</t>
        </is>
      </c>
      <c r="C19" s="10" t="inlineStr">
        <is>
          <t>No disponible</t>
        </is>
      </c>
      <c r="D19" s="10" t="inlineStr">
        <is>
          <t>—</t>
        </is>
      </c>
      <c r="E19" s="10" t="inlineStr">
        <is>
          <t>Conceptual</t>
        </is>
      </c>
    </row>
    <row r="20">
      <c r="A20" s="10" t="inlineStr">
        <is>
          <t>Costo económico total de la accidentabilidad</t>
        </is>
      </c>
      <c r="B20" s="10" t="inlineStr">
        <is>
          <t>Incluye la cuota y otros costos del empleador (ver tabla siguiente).</t>
        </is>
      </c>
      <c r="C20" s="10" t="inlineStr">
        <is>
          <t>No disponible</t>
        </is>
      </c>
      <c r="D20" s="10" t="inlineStr">
        <is>
          <t>—</t>
        </is>
      </c>
      <c r="E20" s="10" t="inlineStr">
        <is>
          <t>Conceptual</t>
        </is>
      </c>
    </row>
    <row r="22">
      <c r="A22" s="4" t="inlineStr">
        <is>
          <t>C. Componentes del costo económico total (sin valores: no hay datos documentados)</t>
        </is>
      </c>
      <c r="B22" s="5" t="n"/>
      <c r="C22" s="5" t="n"/>
      <c r="D22" s="5" t="n"/>
      <c r="E22" s="5" t="n"/>
    </row>
    <row r="23">
      <c r="A23" s="20" t="inlineStr">
        <is>
          <t>Componente</t>
        </is>
      </c>
      <c r="B23" s="20" t="inlineStr">
        <is>
          <t>Descripción</t>
        </is>
      </c>
      <c r="C23" s="20" t="inlineStr">
        <is>
          <t>Valor monetario</t>
        </is>
      </c>
      <c r="D23" s="20" t="inlineStr">
        <is>
          <t>Fuente</t>
        </is>
      </c>
      <c r="E23" s="20" t="inlineStr">
        <is>
          <t>Tipo de información</t>
        </is>
      </c>
    </row>
    <row r="24">
      <c r="A24" s="10" t="inlineStr">
        <is>
          <t>Cuota ART</t>
        </is>
      </c>
      <c r="B24" s="10" t="inlineStr">
        <is>
          <t>Pago mensual a la aseguradora.</t>
        </is>
      </c>
      <c r="C24" s="10" t="inlineStr">
        <is>
          <t>No disponible</t>
        </is>
      </c>
      <c r="D24" s="10" t="inlineStr">
        <is>
          <t>No disponible</t>
        </is>
      </c>
      <c r="E24" s="10" t="inlineStr">
        <is>
          <t>Conceptual</t>
        </is>
      </c>
    </row>
    <row r="25">
      <c r="A25" s="10" t="inlineStr">
        <is>
          <t>Salarios durante ausencias</t>
        </is>
      </c>
      <c r="B25" s="10" t="inlineStr">
        <is>
          <t>Remuneraciones abonadas mientras el trabajador no presta tareas (según el caso y la normativa).</t>
        </is>
      </c>
      <c r="C25" s="10" t="inlineStr">
        <is>
          <t>No disponible</t>
        </is>
      </c>
      <c r="D25" s="10" t="inlineStr">
        <is>
          <t>No disponible</t>
        </is>
      </c>
      <c r="E25" s="10" t="inlineStr">
        <is>
          <t>Conceptual</t>
        </is>
      </c>
    </row>
    <row r="26">
      <c r="A26" s="10" t="inlineStr">
        <is>
          <t>Reemplazos</t>
        </is>
      </c>
      <c r="B26" s="10" t="inlineStr">
        <is>
          <t>Horas extra, contratación o reasignación para cubrir la ausencia.</t>
        </is>
      </c>
      <c r="C26" s="10" t="inlineStr">
        <is>
          <t>No disponible</t>
        </is>
      </c>
      <c r="D26" s="10" t="inlineStr">
        <is>
          <t>No disponible</t>
        </is>
      </c>
      <c r="E26" s="10" t="inlineStr">
        <is>
          <t>Conceptual</t>
        </is>
      </c>
    </row>
    <row r="27">
      <c r="A27" s="10" t="inlineStr">
        <is>
          <t>Daños materiales</t>
        </is>
      </c>
      <c r="B27" s="10" t="inlineStr">
        <is>
          <t>Equipos, instalaciones o producto dañados.</t>
        </is>
      </c>
      <c r="C27" s="10" t="inlineStr">
        <is>
          <t>No disponible</t>
        </is>
      </c>
      <c r="D27" s="10" t="inlineStr">
        <is>
          <t>No disponible</t>
        </is>
      </c>
      <c r="E27" s="10" t="inlineStr">
        <is>
          <t>Conceptual</t>
        </is>
      </c>
    </row>
    <row r="28">
      <c r="A28" s="10" t="inlineStr">
        <is>
          <t>Interrupciones de producción</t>
        </is>
      </c>
      <c r="B28" s="10" t="inlineStr">
        <is>
          <t>Paradas de línea por el evento o su investigación.</t>
        </is>
      </c>
      <c r="C28" s="10" t="inlineStr">
        <is>
          <t>No disponible</t>
        </is>
      </c>
      <c r="D28" s="10" t="inlineStr">
        <is>
          <t>No disponible</t>
        </is>
      </c>
      <c r="E28" s="10" t="inlineStr">
        <is>
          <t>Conceptual</t>
        </is>
      </c>
    </row>
    <row r="29">
      <c r="A29" s="10" t="inlineStr">
        <is>
          <t>Investigación de accidentes</t>
        </is>
      </c>
      <c r="B29" s="10" t="inlineStr">
        <is>
          <t>Horas profesionales y análisis de causas.</t>
        </is>
      </c>
      <c r="C29" s="10" t="inlineStr">
        <is>
          <t>No disponible</t>
        </is>
      </c>
      <c r="D29" s="10" t="inlineStr">
        <is>
          <t>No disponible</t>
        </is>
      </c>
      <c r="E29" s="10" t="inlineStr">
        <is>
          <t>Conceptual</t>
        </is>
      </c>
    </row>
    <row r="30">
      <c r="A30" s="10" t="inlineStr">
        <is>
          <t>Sanciones</t>
        </is>
      </c>
      <c r="B30" s="10" t="inlineStr">
        <is>
          <t>Multas o recargos por incumplimientos.</t>
        </is>
      </c>
      <c r="C30" s="10" t="inlineStr">
        <is>
          <t>No disponible</t>
        </is>
      </c>
      <c r="D30" s="10" t="inlineStr">
        <is>
          <t>No disponible</t>
        </is>
      </c>
      <c r="E30" s="10" t="inlineStr">
        <is>
          <t>Conceptual</t>
        </is>
      </c>
    </row>
    <row r="31">
      <c r="A31" s="10" t="inlineStr">
        <is>
          <t>Eventuales litigios</t>
        </is>
      </c>
      <c r="B31" s="10" t="inlineStr">
        <is>
          <t>Costos judiciales y honorarios.</t>
        </is>
      </c>
      <c r="C31" s="10" t="inlineStr">
        <is>
          <t>No disponible</t>
        </is>
      </c>
      <c r="D31" s="10" t="inlineStr">
        <is>
          <t>No disponible</t>
        </is>
      </c>
      <c r="E31" s="10" t="inlineStr">
        <is>
          <t>Conceptual</t>
        </is>
      </c>
    </row>
    <row r="33">
      <c r="A33" s="4" t="inlineStr">
        <is>
          <t>D. "Más accidentes = aumento inmediato de alícuota": no es una regla automática</t>
        </is>
      </c>
      <c r="B33" s="5" t="n"/>
      <c r="C33" s="5" t="n"/>
      <c r="D33" s="5" t="n"/>
      <c r="E33" s="5" t="n"/>
    </row>
    <row r="34" ht="70" customHeight="1">
      <c r="A34" s="19" t="inlineStr">
        <is>
          <t>Conclusión conceptual: la relación entre siniestralidad y costo es indirecta y mediada por la actividad, la siniestralidad efectiva, la masa salarial, la cápita, la inflación, las normas y las condiciones contractuales. Un aumento de la cuota en pesos puede deberse solo a salarios o inflación; una mejora de la siniestralidad puede no reflejarse de inmediato. Sin datos reales de contratos y cuotas, no puede cuantificarse el efecto. Tipo de información: Conceptual / Hipótesis de análisis.</t>
        </is>
      </c>
    </row>
  </sheetData>
  <autoFilter ref="A4:E15"/>
  <mergeCells count="1">
    <mergeCell ref="A34:E3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29"/>
  <sheetViews>
    <sheetView showGridLines="0" workbookViewId="0">
      <pane ySplit="4" topLeftCell="A5" activePane="bottomLeft" state="frozen"/>
      <selection pane="bottomLeft" activeCell="A1" sqref="A1"/>
    </sheetView>
  </sheetViews>
  <sheetFormatPr baseColWidth="8" defaultRowHeight="15"/>
  <cols>
    <col width="9" customWidth="1" min="1" max="1"/>
    <col width="30" customWidth="1" min="2" max="2"/>
    <col width="20" customWidth="1" min="3" max="3"/>
    <col width="56" customWidth="1" min="4" max="4"/>
    <col width="44" customWidth="1" min="5" max="5"/>
    <col width="18" customWidth="1" min="6" max="6"/>
    <col width="40" customWidth="1" min="7" max="7"/>
    <col width="52" customWidth="1" min="8" max="8"/>
    <col width="46" customWidth="1" min="9" max="9"/>
  </cols>
  <sheetData>
    <row r="1">
      <c r="A1" s="7" t="inlineStr">
        <is>
          <t>Normativa 2021-2025 y normas estructurales</t>
        </is>
      </c>
    </row>
    <row r="2">
      <c r="A2" s="8" t="inlineStr">
        <is>
          <t>Estado de verificación: Verificada (texto oficial consultado) · Parcial (fuente secundaria o dato incompleto) · Pendiente de verificación (no confirmada; sin contenido atribuido). Fecha de consulta: 30/09/2026.</t>
        </is>
      </c>
    </row>
    <row r="4">
      <c r="A4" s="9" t="inlineStr">
        <is>
          <t>Año</t>
        </is>
      </c>
      <c r="B4" s="9" t="inlineStr">
        <is>
          <t>Norma</t>
        </is>
      </c>
      <c r="C4" s="9" t="inlineStr">
        <is>
          <t>Organismo emisor</t>
        </is>
      </c>
      <c r="D4" s="9" t="inlineStr">
        <is>
          <t>Contenido verificado</t>
        </is>
      </c>
      <c r="E4" s="9" t="inlineStr">
        <is>
          <t>Impacto relacionado con ART / prevención</t>
        </is>
      </c>
      <c r="F4" s="9" t="inlineStr">
        <is>
          <t>Estado de verificación</t>
        </is>
      </c>
      <c r="G4" s="9" t="inlineStr">
        <is>
          <t>Vigencia / período</t>
        </is>
      </c>
      <c r="H4" s="9" t="inlineStr">
        <is>
          <t>Enlace oficial o fuente</t>
        </is>
      </c>
      <c r="I4" s="9" t="inlineStr">
        <is>
          <t>Observaciones</t>
        </is>
      </c>
    </row>
    <row r="5">
      <c r="A5" s="10" t="n">
        <v>2021</v>
      </c>
      <c r="B5" s="10" t="inlineStr">
        <is>
          <t>Disposición SRT 1/2021</t>
        </is>
      </c>
      <c r="C5" s="10" t="inlineStr">
        <is>
          <t>SRT – Gerencia de Control Prestacional</t>
        </is>
      </c>
      <c r="D5" s="10" t="inlineStr">
        <is>
          <t>Incorpora un texto al final del art. 20 del Anexo I (IF-2019-86153472-APN-GCP#SRT) de la Res. SRT 86/2019, que detalla el procedimiento para liquidar, intimar y certificar créditos por cuotas omitidas al Fondo de Garantía. Según el extracto, el texto incorporado prevé la publicación anual en el BO de alícuotas promedio del año anterior por actividad CIIU.</t>
        </is>
      </c>
      <c r="E5" s="10" t="inlineStr">
        <is>
          <t>Cobro de cuotas omitidas de empleadores no asegurados. No fija alícuotas de ART contratadas.</t>
        </is>
      </c>
      <c r="F5" s="21" t="inlineStr">
        <is>
          <t>Verificada</t>
        </is>
      </c>
      <c r="G5" s="10" t="inlineStr">
        <is>
          <t>Sanción 09/08/2021; BO 11/08/2021 (BO N° 34.722). Rige desde su publicación. Modificaciones posteriores: pendiente de verificar.</t>
        </is>
      </c>
      <c r="H5" s="22" t="inlineStr">
        <is>
          <t>https://www.boletinoficial.gob.ar/detalleAviso/primera/247981/20210811</t>
        </is>
      </c>
      <c r="I5" s="10" t="inlineStr">
        <is>
          <t>Leer el texto completo antes de citar el alcance exacto del artículo incorporado.</t>
        </is>
      </c>
    </row>
    <row r="6">
      <c r="A6" s="10" t="n">
        <v>2022</v>
      </c>
      <c r="B6" s="10" t="inlineStr">
        <is>
          <t>Resolución Conjunta SRT-SSN 2/2022</t>
        </is>
      </c>
      <c r="C6" s="10" t="inlineStr">
        <is>
          <t>SRT y SSN</t>
        </is>
      </c>
      <c r="D6" s="10" t="inlineStr">
        <is>
          <t>No confirmado. La compilación normativa 2022 de la SRT la lista con fecha BO 02/12/2022, junto a una autorización de operación de una ART; el contenido exacto no pudo comprobarse.</t>
        </is>
      </c>
      <c r="E6" s="10" t="inlineStr">
        <is>
          <t>No atribuido.</t>
        </is>
      </c>
      <c r="F6" s="23" t="inlineStr">
        <is>
          <t>Pendiente de verificación</t>
        </is>
      </c>
      <c r="G6" s="10" t="inlineStr">
        <is>
          <t>BO 02/12/2022 (según compilación SRT). Vigencia: pendiente.</t>
        </is>
      </c>
      <c r="H6" s="22" t="inlineStr">
        <is>
          <t>https://www.argentina.gob.ar/sites/default/files/actualizacion_normativa_2022_-2.pdf</t>
        </is>
      </c>
      <c r="I6" s="10" t="inlineStr">
        <is>
          <t>No se atribuye contenido hasta consultar el texto en el Boletín Oficial.</t>
        </is>
      </c>
    </row>
    <row r="7">
      <c r="A7" s="10" t="n">
        <v>2023</v>
      </c>
      <c r="B7" s="10" t="inlineStr">
        <is>
          <t>Resolución Conjunta SRT-SSN 1/2023</t>
        </is>
      </c>
      <c r="C7" s="10" t="inlineStr">
        <is>
          <t>SRT y SSN</t>
        </is>
      </c>
      <c r="D7" s="10" t="inlineStr">
        <is>
          <t>No disponible</t>
        </is>
      </c>
      <c r="E7" s="10" t="inlineStr">
        <is>
          <t>No disponible</t>
        </is>
      </c>
      <c r="F7" s="23" t="inlineStr">
        <is>
          <t>Pendiente de verificación</t>
        </is>
      </c>
      <c r="G7" s="10" t="inlineStr">
        <is>
          <t>No disponible</t>
        </is>
      </c>
      <c r="H7" s="10" t="inlineStr">
        <is>
          <t>No disponible</t>
        </is>
      </c>
      <c r="I7" s="10" t="inlineStr">
        <is>
          <t>No se halló fuente oficial en la consulta. Mencionada en el material de partida.</t>
        </is>
      </c>
    </row>
    <row r="8">
      <c r="A8" s="10" t="n">
        <v>2023</v>
      </c>
      <c r="B8" s="10" t="inlineStr">
        <is>
          <t>Resolución SRT 61/2023</t>
        </is>
      </c>
      <c r="C8" s="10" t="inlineStr">
        <is>
          <t>SRT</t>
        </is>
      </c>
      <c r="D8" s="10" t="inlineStr">
        <is>
          <t>Aprueba las "Medidas de Seguridad en Altura" (Anexo I), el glosario (Anexo II) y planillas de verificación de equipos (Anexo III): silletas, andamios, PEMP, sistemas de arresto de caídas y trabajos en postes. Los empleadores deben adoptar las medidas del Anexo I; la documentación se incorpora al legajo técnico de obra (Res. SRT 231/96).</t>
        </is>
      </c>
      <c r="E8" s="10" t="inlineStr">
        <is>
          <t>Prevención: trabajos en altura. Pertinente a mantenimiento y montajes en plantas industriales (aplicabilidad al caso concreto: a analizar).</t>
        </is>
      </c>
      <c r="F8" s="21" t="inlineStr">
        <is>
          <t>Verificada</t>
        </is>
      </c>
      <c r="G8" s="10" t="inlineStr">
        <is>
          <t>Fecha 05/12/2023; BO 06/12/2023. Entra en vigencia a los 90 días de su publicación. Modificaciones posteriores: pendiente de verificar.</t>
        </is>
      </c>
      <c r="H8" s="22" t="inlineStr">
        <is>
          <t>https://www.argentina.gob.ar/normativa/nacional/resoluci%C3%B3n-61-2023-394625/texto</t>
        </is>
      </c>
      <c r="I8" s="10" t="inlineStr">
        <is>
          <t>Texto también en https://www.boletinoficial.gob.ar/#!DetalleNorma/300086/20231206</t>
        </is>
      </c>
    </row>
    <row r="9">
      <c r="A9" s="10" t="n">
        <v>2024</v>
      </c>
      <c r="B9" s="10" t="inlineStr">
        <is>
          <t>Resolución SRT 34/2024</t>
        </is>
      </c>
      <c r="C9" s="10" t="inlineStr">
        <is>
          <t>SRT</t>
        </is>
      </c>
      <c r="D9" s="10" t="inlineStr">
        <is>
          <t>Según fuente secundaria: alícuotas promedio correspondientes al año calendario 2023, para empleadores con deuda de cuota omitida.</t>
        </is>
      </c>
      <c r="E9" s="10" t="inlineStr">
        <is>
          <t>Parámetro de cálculo de deuda por cuota omitida; no es la alícuota de una empresa.</t>
        </is>
      </c>
      <c r="F9" s="24" t="inlineStr">
        <is>
          <t>Parcial</t>
        </is>
      </c>
      <c r="G9" s="10" t="inlineStr">
        <is>
          <t>Publicada hacia mayo de 2024 (fuente secundaria). Fecha de BO y período de aplicación: pendiente.</t>
        </is>
      </c>
      <c r="H9" s="22" t="inlineStr">
        <is>
          <t>https://siap.blogdelcontador.com.ar/?p=54143</t>
        </is>
      </c>
      <c r="I9" s="10" t="inlineStr">
        <is>
          <t>Fuente secundaria (Blog del Contador). Confirmar en Boletín Oficial.</t>
        </is>
      </c>
    </row>
    <row r="10">
      <c r="A10" s="10" t="n">
        <v>2024</v>
      </c>
      <c r="B10" s="10" t="inlineStr">
        <is>
          <t>Resolución SRT 60/2024</t>
        </is>
      </c>
      <c r="C10" s="10" t="inlineStr">
        <is>
          <t>SRT</t>
        </is>
      </c>
      <c r="D10" s="10" t="inlineStr">
        <is>
          <t>No disponible</t>
        </is>
      </c>
      <c r="E10" s="10" t="inlineStr">
        <is>
          <t>No disponible</t>
        </is>
      </c>
      <c r="F10" s="23" t="inlineStr">
        <is>
          <t>Pendiente de verificación</t>
        </is>
      </c>
      <c r="G10" s="10" t="inlineStr">
        <is>
          <t>No disponible</t>
        </is>
      </c>
      <c r="H10" s="10" t="inlineStr">
        <is>
          <t>No disponible</t>
        </is>
      </c>
      <c r="I10" s="10" t="inlineStr">
        <is>
          <t>No se halló fuente en la consulta. Mencionada en el material de partida.</t>
        </is>
      </c>
    </row>
    <row r="11">
      <c r="A11" s="10" t="n">
        <v>2025</v>
      </c>
      <c r="B11" s="10" t="inlineStr">
        <is>
          <t>Resolución Conjunta SRT-SSN 1/2025</t>
        </is>
      </c>
      <c r="C11" s="10" t="inlineStr">
        <is>
          <t>SRT y SSN</t>
        </is>
      </c>
      <c r="D11" s="10" t="inlineStr">
        <is>
          <t>No disponible</t>
        </is>
      </c>
      <c r="E11" s="10" t="inlineStr">
        <is>
          <t>No disponible</t>
        </is>
      </c>
      <c r="F11" s="23" t="inlineStr">
        <is>
          <t>Pendiente de verificación</t>
        </is>
      </c>
      <c r="G11" s="10" t="inlineStr">
        <is>
          <t>No disponible</t>
        </is>
      </c>
      <c r="H11" s="10" t="inlineStr">
        <is>
          <t>No disponible</t>
        </is>
      </c>
      <c r="I11" s="10" t="inlineStr">
        <is>
          <t>No se halló fuente en la consulta. Mencionada en el material de partida.</t>
        </is>
      </c>
    </row>
    <row r="12">
      <c r="A12" s="10" t="n">
        <v>2025</v>
      </c>
      <c r="B12" s="10" t="inlineStr">
        <is>
          <t>Resolución SRT 34/2025</t>
        </is>
      </c>
      <c r="C12" s="10" t="inlineStr">
        <is>
          <t>SRT</t>
        </is>
      </c>
      <c r="D12" s="10" t="inlineStr">
        <is>
          <t>Aprobó las alícuotas promedio por actividad CIIU correspondientes al año calendario 2024 (determinación de deuda de cuota omitida al Fondo de Garantía). El valor de la cuota omitida es el 150% de la alícuota promedio de mercado de la categoría de riesgo (Res. SRT 86/2019, citada).</t>
        </is>
      </c>
      <c r="E12" s="10" t="inlineStr">
        <is>
          <t>Parámetro para empleadores no asegurados o autoasegurados; no es una alícuota contratada.</t>
        </is>
      </c>
      <c r="F12" s="24" t="inlineStr">
        <is>
          <t>Parcial</t>
        </is>
      </c>
      <c r="G12" s="10" t="inlineStr">
        <is>
          <t>Fecha 30/07/2025 (según considerandos de la Res. SRT 23/2026). Para el período 01/04/2026-31/03/2027 rigen las alícuotas 2025 de la Res. SRT 23/2026. Período propio de aplicación: pendiente.</t>
        </is>
      </c>
      <c r="H12" s="22" t="inlineStr">
        <is>
          <t>https://aldiaargentina.microjuris.com/2026/05/19/legislacion-riesgos-del-trabajo-nuevos-parametros-de-referencia-para-el-calculo-de-deudas-por-falta-de-afiliacion-al-sistema/</t>
        </is>
      </c>
      <c r="I12" s="10" t="inlineStr">
        <is>
          <t>Verificada a través de la norma posterior citada (fuente secundaria). Valores de alícuotas: no se transcriben.</t>
        </is>
      </c>
    </row>
    <row r="13">
      <c r="A13" s="10" t="n">
        <v>2024</v>
      </c>
      <c r="B13" s="10" t="inlineStr">
        <is>
          <t>Resolución SRT 79/2024 (contexto)</t>
        </is>
      </c>
      <c r="C13" s="10" t="inlineStr">
        <is>
          <t>SRT</t>
        </is>
      </c>
      <c r="D13" s="10" t="inlineStr">
        <is>
          <t>Aprueba el Plan Estratégico 2024-2027 de la SRT (Anexo IF-2024-130767518-APN-SRT#MCH).</t>
        </is>
      </c>
      <c r="E13" s="10" t="inlineStr">
        <is>
          <t>Marco de política preventiva del organismo.</t>
        </is>
      </c>
      <c r="F13" s="21" t="inlineStr">
        <is>
          <t>Verificada</t>
        </is>
      </c>
      <c r="G13" s="10" t="inlineStr">
        <is>
          <t>Fecha 28/11/2024; BO 02/12/2024; rige desde el día siguiente a su publicación.</t>
        </is>
      </c>
      <c r="H13" s="22" t="inlineStr">
        <is>
          <t>https://www.boletinoficial.gob.ar/detalleAviso/primera/317574/1</t>
        </is>
      </c>
      <c r="I13" s="10" t="inlineStr">
        <is>
          <t>Norma adicional verificada, no incluida en el listado original.</t>
        </is>
      </c>
    </row>
    <row r="14">
      <c r="A14" s="10" t="n">
        <v>2024</v>
      </c>
      <c r="B14" s="10" t="inlineStr">
        <is>
          <t>Resolución SRT 69/2024 (contexto)</t>
        </is>
      </c>
      <c r="C14" s="10" t="inlineStr">
        <is>
          <t>SRT</t>
        </is>
      </c>
      <c r="D14" s="10" t="inlineStr">
        <is>
          <t>Marco para que los actores del sistema utilicen tecnologías emergentes en la prevención de riesgos y el control de condiciones de trabajo.</t>
        </is>
      </c>
      <c r="E14" s="10" t="inlineStr">
        <is>
          <t>Prevención: uso de tecnologías.</t>
        </is>
      </c>
      <c r="F14" s="24" t="inlineStr">
        <is>
          <t>Parcial</t>
        </is>
      </c>
      <c r="G14" s="10" t="inlineStr">
        <is>
          <t>Fecha 15/10/2024. Fecha de BO y alcance del articulado: pendiente.</t>
        </is>
      </c>
      <c r="H14" s="22" t="inlineStr">
        <is>
          <t>https://www.boletinoficial.gob.ar/detalleAviso/primera/315671/1</t>
        </is>
      </c>
      <c r="I14" s="10" t="inlineStr">
        <is>
          <t>Solo se leyeron los considerandos.</t>
        </is>
      </c>
    </row>
    <row r="15">
      <c r="A15" s="10" t="n">
        <v>2026</v>
      </c>
      <c r="B15" s="10" t="inlineStr">
        <is>
          <t>Resolución SRT 23/2026 (contexto)</t>
        </is>
      </c>
      <c r="C15" s="10" t="inlineStr">
        <is>
          <t>SRT</t>
        </is>
      </c>
      <c r="D15" s="10" t="inlineStr">
        <is>
          <t>Aprueba las alícuotas promedio del año calendario 2025 por CIIU, aplicables del 01/04/2026 al 31/03/2027 para deuda de cuota omitida.</t>
        </is>
      </c>
      <c r="E15" s="10" t="inlineStr">
        <is>
          <t>Muestra que las alícuotas promedio se actualizan anualmente y reemplazan a las del período anterior.</t>
        </is>
      </c>
      <c r="F15" s="24" t="inlineStr">
        <is>
          <t>Parcial</t>
        </is>
      </c>
      <c r="G15" s="10" t="inlineStr">
        <is>
          <t>BO hacia 19/05/2026 (fuente secundaria). Fuera del período 2021-2025.</t>
        </is>
      </c>
      <c r="H15" s="22" t="inlineStr">
        <is>
          <t>https://siap.blogdelcontador.com.ar/?p=84719</t>
        </is>
      </c>
      <c r="I15" s="10" t="inlineStr">
        <is>
          <t>Incluida solo para precisar la vigencia de la Res. SRT 34/2025.</t>
        </is>
      </c>
    </row>
    <row r="16">
      <c r="A16" s="10" t="n">
        <v>1995</v>
      </c>
      <c r="B16" s="10" t="inlineStr">
        <is>
          <t>Ley 24.557 – Ley sobre Riesgos del Trabajo</t>
        </is>
      </c>
      <c r="C16" s="10" t="inlineStr">
        <is>
          <t>Congreso de la Nación</t>
        </is>
      </c>
      <c r="D16" s="10" t="inlineStr">
        <is>
          <t>Norma base del sistema: crea la SRT (art. 35), fija sus funciones (art. 36), establece la reducción de la siniestralidad mediante la prevención como objetivo (art. 1) y obligaciones de ART, empleadores y trabajadores (art. 4).</t>
        </is>
      </c>
      <c r="E16" s="10" t="inlineStr">
        <is>
          <t>Estructura todo el sistema.</t>
        </is>
      </c>
      <c r="F16" s="24" t="inlineStr">
        <is>
          <t>Parcial</t>
        </is>
      </c>
      <c r="G16" s="10" t="inlineStr">
        <is>
          <t>Texto actualizado: consultar Infoleg (registra modificaciones posteriores).</t>
        </is>
      </c>
      <c r="H16" s="22" t="inlineStr">
        <is>
          <t>https://servicios.infoleg.gob.ar/infolegInternet/anexos/25000-29999/27971/texact.htm</t>
        </is>
      </c>
      <c r="I16" s="10" t="inlineStr">
        <is>
          <t>Año por conocimiento general. Verificar texto vigente antes de citar artículos.</t>
        </is>
      </c>
    </row>
    <row r="17">
      <c r="A17" s="10" t="n">
        <v>2012</v>
      </c>
      <c r="B17" s="10" t="inlineStr">
        <is>
          <t>Ley 26.773</t>
        </is>
      </c>
      <c r="C17" s="10" t="inlineStr">
        <is>
          <t>Congreso de la Nación</t>
        </is>
      </c>
      <c r="D17" s="10" t="inlineStr">
        <is>
          <t>Título y alcance no verificados en esta consulta. Citada junto con las Leyes 24.557 y 27.348 en considerandos de Res. SRT 90/2021 y 79/2024.</t>
        </is>
      </c>
      <c r="E17" s="10" t="inlineStr">
        <is>
          <t>Régimen de reparación (a confirmar).</t>
        </is>
      </c>
      <c r="F17" s="23" t="inlineStr">
        <is>
          <t>Pendiente de verificación</t>
        </is>
      </c>
      <c r="G17" s="10" t="inlineStr">
        <is>
          <t>Pendiente.</t>
        </is>
      </c>
      <c r="H17" s="10" t="inlineStr">
        <is>
          <t>No disponible</t>
        </is>
      </c>
      <c r="I17" s="10" t="inlineStr">
        <is>
          <t>Año por conocimiento general. No se atribuye contenido.</t>
        </is>
      </c>
    </row>
    <row r="18">
      <c r="A18" s="10" t="n">
        <v>2017</v>
      </c>
      <c r="B18" s="10" t="inlineStr">
        <is>
          <t>Ley 27.348</t>
        </is>
      </c>
      <c r="C18" s="10" t="inlineStr">
        <is>
          <t>Congreso de la Nación</t>
        </is>
      </c>
      <c r="D18" s="10" t="inlineStr">
        <is>
          <t>Denominada "Complementaria de la Ley sobre Riesgos del Trabajo" en la Res. SRT 23/2024.</t>
        </is>
      </c>
      <c r="E18" s="10" t="inlineStr">
        <is>
          <t>Complementa el régimen de prestaciones y su tramitación (detalle a confirmar).</t>
        </is>
      </c>
      <c r="F18" s="23" t="inlineStr">
        <is>
          <t>Pendiente de verificación</t>
        </is>
      </c>
      <c r="G18" s="10" t="inlineStr">
        <is>
          <t>Pendiente.</t>
        </is>
      </c>
      <c r="H18" s="10" t="inlineStr">
        <is>
          <t>No disponible</t>
        </is>
      </c>
      <c r="I18" s="10" t="inlineStr">
        <is>
          <t>Año por conocimiento general. Contenido detallado no verificado.</t>
        </is>
      </c>
    </row>
    <row r="19">
      <c r="A19" s="10" t="n">
        <v>1996</v>
      </c>
      <c r="B19" s="10" t="inlineStr">
        <is>
          <t>Decreto 717/1996</t>
        </is>
      </c>
      <c r="C19" s="10" t="inlineStr">
        <is>
          <t>Poder Ejecutivo Nacional</t>
        </is>
      </c>
      <c r="D19" s="10" t="inlineStr">
        <is>
          <t>Regula el procedimiento de denuncia de accidentes de trabajo y enfermedades profesionales ante las ART y la autoridad administrativa (extracto).</t>
        </is>
      </c>
      <c r="E19" s="10" t="inlineStr">
        <is>
          <t>Obligación de denuncia y plazos.</t>
        </is>
      </c>
      <c r="F19" s="24" t="inlineStr">
        <is>
          <t>Parcial</t>
        </is>
      </c>
      <c r="G19" s="10" t="inlineStr">
        <is>
          <t>BO 12/07/1996. Vigencia actual: pendiente.</t>
        </is>
      </c>
      <c r="H19" s="22" t="inlineStr">
        <is>
          <t>https://docs.argentina.justia.com/federales/decretos/decreto-n-717-1996-jul-12-1996.pdf</t>
        </is>
      </c>
      <c r="I19" s="10" t="inlineStr">
        <is>
          <t>Fuente secundaria (Justia).</t>
        </is>
      </c>
    </row>
    <row r="20">
      <c r="A20" s="10" t="n">
        <v>2018</v>
      </c>
      <c r="B20" s="10" t="inlineStr">
        <is>
          <t>Resolución SRT 46/2018</t>
        </is>
      </c>
      <c r="C20" s="10" t="inlineStr">
        <is>
          <t>SRT</t>
        </is>
      </c>
      <c r="D20" s="10" t="inlineStr">
        <is>
          <t>No disponible</t>
        </is>
      </c>
      <c r="E20" s="10" t="inlineStr">
        <is>
          <t>No disponible</t>
        </is>
      </c>
      <c r="F20" s="23" t="inlineStr">
        <is>
          <t>Pendiente de verificación</t>
        </is>
      </c>
      <c r="G20" s="10" t="inlineStr">
        <is>
          <t>Fecha 31/05/2018 (citada en los vistos de la Disp. SRT 1/2021). Vigencia: pendiente.</t>
        </is>
      </c>
      <c r="H20" s="10" t="inlineStr">
        <is>
          <t>No disponible</t>
        </is>
      </c>
      <c r="I20" s="10" t="inlineStr">
        <is>
          <t>Su contenido no se pudo verificar; no se atribuye.</t>
        </is>
      </c>
    </row>
    <row r="21">
      <c r="A21" s="10" t="n">
        <v>2016</v>
      </c>
      <c r="B21" s="10" t="inlineStr">
        <is>
          <t>Resolución SRT 363/2016 (PESE)</t>
        </is>
      </c>
      <c r="C21" s="10" t="inlineStr">
        <is>
          <t>SRT</t>
        </is>
      </c>
      <c r="D21" s="10" t="inlineStr">
        <is>
          <t>Crea el Programa de Empleadores con Siniestralidad Elevada (P.E.S.E.), que sustituyó al programa de rehabilitación para establecimientos de alta siniestralidad.</t>
        </is>
      </c>
      <c r="E21" s="10" t="inlineStr">
        <is>
          <t>Programa preventivo de seguimiento (ver hoja Prevención).</t>
        </is>
      </c>
      <c r="F21" s="24" t="inlineStr">
        <is>
          <t>Parcial</t>
        </is>
      </c>
      <c r="G21" s="10" t="inlineStr">
        <is>
          <t>Fecha 09/09/2016. Vigencia actual: pendiente (la SRT lo menciona como programa en curso).</t>
        </is>
      </c>
      <c r="H21" s="22" t="inlineStr">
        <is>
          <t>https://www.argentina.gob.ar/node/127740</t>
        </is>
      </c>
      <c r="I21" s="10" t="inlineStr">
        <is>
          <t>Fecha y creación confirmadas por citas de la Res. SRT 20/2018 y de la SRT.</t>
        </is>
      </c>
    </row>
    <row r="22">
      <c r="A22" s="10" t="n">
        <v>2018</v>
      </c>
      <c r="B22" s="10" t="inlineStr">
        <is>
          <t>Resolución SRT 20/2018 (PESE-PyMES)</t>
        </is>
      </c>
      <c r="C22" s="10" t="inlineStr">
        <is>
          <t>SRT</t>
        </is>
      </c>
      <c r="D22" s="10" t="inlineStr">
        <is>
          <t>Establece el Programa de Prevención para Empleadores PyMES con Siniestralidad Elevada (P.E.S.E.-PyMES), basado en las pautas del PESE.</t>
        </is>
      </c>
      <c r="E22" s="10" t="inlineStr">
        <is>
          <t>Programa preventivo para PyMES (ver hoja Prevención).</t>
        </is>
      </c>
      <c r="F22" s="21" t="inlineStr">
        <is>
          <t>Verificada</t>
        </is>
      </c>
      <c r="G22" s="10" t="inlineStr">
        <is>
          <t>Fecha 09/03/2018; BO 13/03/2018. Vigencia actual: pendiente.</t>
        </is>
      </c>
      <c r="H22" s="22" t="inlineStr">
        <is>
          <t>https://www.boletinoficial.gob.ar/detalleAviso/primera/180086/20180313</t>
        </is>
      </c>
      <c r="I22" s="10" t="inlineStr">
        <is>
          <t>Texto oficial consultado.</t>
        </is>
      </c>
    </row>
    <row r="24">
      <c r="A24" s="4" t="inlineStr">
        <is>
          <t>Resumen de verificación (fórmulas)</t>
        </is>
      </c>
      <c r="B24" s="5" t="n"/>
      <c r="C24" s="5" t="n"/>
      <c r="D24" s="5" t="n"/>
      <c r="E24" s="5" t="n"/>
      <c r="F24" s="5" t="n"/>
      <c r="G24" s="5" t="n"/>
      <c r="H24" s="5" t="n"/>
      <c r="I24" s="5" t="n"/>
    </row>
    <row r="25">
      <c r="B25" s="25" t="inlineStr">
        <is>
          <t>Verificada</t>
        </is>
      </c>
      <c r="C25" s="26">
        <f>COUNTIF($F$5:$F$22,"Verificada")</f>
        <v/>
      </c>
    </row>
    <row r="26">
      <c r="B26" s="25" t="inlineStr">
        <is>
          <t>Parcial</t>
        </is>
      </c>
      <c r="C26" s="26">
        <f>COUNTIF($F$5:$F$22,"Parcial")</f>
        <v/>
      </c>
    </row>
    <row r="27">
      <c r="B27" s="25" t="inlineStr">
        <is>
          <t>Pendiente de verificación</t>
        </is>
      </c>
      <c r="C27" s="26">
        <f>COUNTIF($F$5:$F$22,"Pendiente de verificación")</f>
        <v/>
      </c>
    </row>
    <row r="28">
      <c r="B28" s="25" t="inlineStr">
        <is>
          <t>Total de normas</t>
        </is>
      </c>
      <c r="C28" s="25">
        <f>SUM(C25:C27)</f>
        <v/>
      </c>
    </row>
    <row r="29">
      <c r="B29" s="26" t="inlineStr">
        <is>
          <t>Control (filas de la tabla)</t>
        </is>
      </c>
      <c r="C29" s="26">
        <f>COUNTA($B$5:$B$22)</f>
        <v/>
      </c>
    </row>
  </sheetData>
  <autoFilter ref="A4:I22"/>
  <hyperlinks>
    <hyperlink xmlns:r="http://schemas.openxmlformats.org/officeDocument/2006/relationships" ref="H5" r:id="rId1"/>
    <hyperlink xmlns:r="http://schemas.openxmlformats.org/officeDocument/2006/relationships" ref="H6" r:id="rId2"/>
    <hyperlink xmlns:r="http://schemas.openxmlformats.org/officeDocument/2006/relationships" ref="H8" r:id="rId3"/>
    <hyperlink xmlns:r="http://schemas.openxmlformats.org/officeDocument/2006/relationships" ref="H9" r:id="rId4"/>
    <hyperlink xmlns:r="http://schemas.openxmlformats.org/officeDocument/2006/relationships" ref="H12" r:id="rId5"/>
    <hyperlink xmlns:r="http://schemas.openxmlformats.org/officeDocument/2006/relationships" ref="H13" r:id="rId6"/>
    <hyperlink xmlns:r="http://schemas.openxmlformats.org/officeDocument/2006/relationships" ref="H14" r:id="rId7"/>
    <hyperlink xmlns:r="http://schemas.openxmlformats.org/officeDocument/2006/relationships" ref="H15" r:id="rId8"/>
    <hyperlink xmlns:r="http://schemas.openxmlformats.org/officeDocument/2006/relationships" ref="H16" r:id="rId9"/>
    <hyperlink xmlns:r="http://schemas.openxmlformats.org/officeDocument/2006/relationships" ref="H19" r:id="rId10"/>
    <hyperlink xmlns:r="http://schemas.openxmlformats.org/officeDocument/2006/relationships" ref="H21" r:id="rId11"/>
    <hyperlink xmlns:r="http://schemas.openxmlformats.org/officeDocument/2006/relationships" ref="H22" r:id="rId12"/>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7"/>
  <sheetViews>
    <sheetView showGridLines="0" workbookViewId="0">
      <pane ySplit="4" topLeftCell="A5" activePane="bottomLeft" state="frozen"/>
      <selection pane="bottomLeft" activeCell="A1" sqref="A1"/>
    </sheetView>
  </sheetViews>
  <sheetFormatPr baseColWidth="8" defaultRowHeight="15"/>
  <cols>
    <col width="20" customWidth="1" min="1" max="1"/>
    <col width="38" customWidth="1" min="2" max="2"/>
    <col width="70" customWidth="1" min="3" max="3"/>
    <col width="34" customWidth="1" min="4" max="4"/>
    <col width="24" customWidth="1" min="5" max="5"/>
  </cols>
  <sheetData>
    <row r="1">
      <c r="A1" s="7" t="inlineStr">
        <is>
          <t>Prevención: responsabilidades, medidas y programas</t>
        </is>
      </c>
    </row>
    <row r="2">
      <c r="A2" s="8" t="inlineStr">
        <is>
          <t>Las medidas generales son conceptuales; el PESE se describe solo con lo confirmado en fuentes oficiales.</t>
        </is>
      </c>
    </row>
    <row r="4">
      <c r="A4" s="9" t="inlineStr">
        <is>
          <t>Actor</t>
        </is>
      </c>
      <c r="B4" s="9" t="inlineStr">
        <is>
          <t>Medida / responsabilidad</t>
        </is>
      </c>
      <c r="C4" s="9" t="inlineStr">
        <is>
          <t>Descripción</t>
        </is>
      </c>
      <c r="D4" s="9" t="inlineStr">
        <is>
          <t>Base</t>
        </is>
      </c>
      <c r="E4" s="9" t="inlineStr">
        <is>
          <t>Tipo de información</t>
        </is>
      </c>
    </row>
    <row r="5">
      <c r="A5" s="10" t="inlineStr">
        <is>
          <t>Empleador</t>
        </is>
      </c>
      <c r="B5" s="10" t="inlineStr">
        <is>
          <t>Cumplir las normas de higiene y seguridad</t>
        </is>
      </c>
      <c r="C5" s="10" t="inlineStr">
        <is>
          <t>Obligación que se mantiene aunque la ART asesore.</t>
        </is>
      </c>
      <c r="D5" s="10" t="inlineStr">
        <is>
          <t>Res. SRT 61/2023 (considerandos)</t>
        </is>
      </c>
      <c r="E5" s="10" t="inlineStr">
        <is>
          <t>Normativo (verificado)</t>
        </is>
      </c>
    </row>
    <row r="6">
      <c r="A6" s="10" t="inlineStr">
        <is>
          <t>Empleador</t>
        </is>
      </c>
      <c r="B6" s="10" t="inlineStr">
        <is>
          <t>Identificar y evaluar riesgos</t>
        </is>
      </c>
      <c r="C6" s="10" t="inlineStr">
        <is>
          <t>Relevamiento de riesgos por establecimiento y puesto; priorizar por gravedad y probabilidad.</t>
        </is>
      </c>
      <c r="D6" s="10" t="inlineStr">
        <is>
          <t>Práctica de higiene y seguridad; RGRL exigido en PESE</t>
        </is>
      </c>
      <c r="E6" s="10" t="inlineStr">
        <is>
          <t>Conceptual</t>
        </is>
      </c>
    </row>
    <row r="7">
      <c r="A7" s="10" t="inlineStr">
        <is>
          <t>Empleador</t>
        </is>
      </c>
      <c r="B7" s="10" t="inlineStr">
        <is>
          <t>Capacitar e informar</t>
        </is>
      </c>
      <c r="C7" s="10" t="inlineStr">
        <is>
          <t>Capacitación y entrega de información sobre riesgos y elementos de protección personal.</t>
        </is>
      </c>
      <c r="D7" s="10" t="inlineStr">
        <is>
          <t>Ley 24.557 (trabajadores reciben capacitación del empleador)</t>
        </is>
      </c>
      <c r="E7" s="10" t="inlineStr">
        <is>
          <t>Normativo (verificado)</t>
        </is>
      </c>
    </row>
    <row r="8">
      <c r="A8" s="10" t="inlineStr">
        <is>
          <t>Empleador</t>
        </is>
      </c>
      <c r="B8" s="10" t="inlineStr">
        <is>
          <t>Controles de ingeniería y procedimientos</t>
        </is>
      </c>
      <c r="C8" s="10" t="inlineStr">
        <is>
          <t>Guardas, enclavamientos, bloqueo-etiquetado, permisos de trabajo, mantenimiento preventivo.</t>
        </is>
      </c>
      <c r="D8" s="10" t="inlineStr">
        <is>
          <t>Conocimiento técnico general</t>
        </is>
      </c>
      <c r="E8" s="10" t="inlineStr">
        <is>
          <t>Conocimiento técnico general</t>
        </is>
      </c>
    </row>
    <row r="9">
      <c r="A9" s="10" t="inlineStr">
        <is>
          <t>Empleador</t>
        </is>
      </c>
      <c r="B9" s="10" t="inlineStr">
        <is>
          <t>Investigar incidentes</t>
        </is>
      </c>
      <c r="C9" s="10" t="inlineStr">
        <is>
          <t>Analizar causas y registrar siniestralidad por establecimiento.</t>
        </is>
      </c>
      <c r="D9" s="10" t="inlineStr">
        <is>
          <t>Res. SRT 20/2018 (cita del registro)</t>
        </is>
      </c>
      <c r="E9" s="10" t="inlineStr">
        <is>
          <t>Normativo (a confirmar)</t>
        </is>
      </c>
    </row>
    <row r="10">
      <c r="A10" s="10" t="inlineStr">
        <is>
          <t>ART</t>
        </is>
      </c>
      <c r="B10" s="10" t="inlineStr">
        <is>
          <t>Asesorar en prevención</t>
        </is>
      </c>
      <c r="C10" s="10" t="inlineStr">
        <is>
          <t>Promover la prevención y asesorar al empleador.</t>
        </is>
      </c>
      <c r="D10" s="10" t="inlineStr">
        <is>
          <t>Res. SRT 61/2023 (considerandos)</t>
        </is>
      </c>
      <c r="E10" s="10" t="inlineStr">
        <is>
          <t>Normativo (verificado)</t>
        </is>
      </c>
    </row>
    <row r="11">
      <c r="A11" s="10" t="inlineStr">
        <is>
          <t>ART</t>
        </is>
      </c>
      <c r="B11" s="10" t="inlineStr">
        <is>
          <t>Visitas y planes de reducción</t>
        </is>
      </c>
      <c r="C11" s="10" t="inlineStr">
        <is>
          <t>En PESE: cumplir el plan de visitas e informarlo a la SRT.</t>
        </is>
      </c>
      <c r="D11" s="10" t="inlineStr">
        <is>
          <t>Información SRT (argentina.gob.ar)</t>
        </is>
      </c>
      <c r="E11" s="10" t="inlineStr">
        <is>
          <t>Normativo (verificado)</t>
        </is>
      </c>
    </row>
    <row r="12">
      <c r="A12" s="10" t="inlineStr">
        <is>
          <t>ART</t>
        </is>
      </c>
      <c r="B12" s="10" t="inlineStr">
        <is>
          <t>Informar incumplimientos a la SRT</t>
        </is>
      </c>
      <c r="C12" s="10" t="inlineStr">
        <is>
          <t>Comunicación de incumplimientos de afiliados.</t>
        </is>
      </c>
      <c r="D12" s="10" t="inlineStr">
        <is>
          <t>Material de partida</t>
        </is>
      </c>
      <c r="E12" s="10" t="inlineStr">
        <is>
          <t>Normativo (a confirmar)</t>
        </is>
      </c>
    </row>
    <row r="13">
      <c r="A13" s="10" t="inlineStr">
        <is>
          <t>Trabajador</t>
        </is>
      </c>
      <c r="B13" s="10" t="inlineStr">
        <is>
          <t>Participar en acciones preventivas</t>
        </is>
      </c>
      <c r="C13" s="10" t="inlineStr">
        <is>
          <t>Recibir capacitación, participar e informar al empleador los hechos vinculados con riesgos.</t>
        </is>
      </c>
      <c r="D13" s="10" t="inlineStr">
        <is>
          <t>Ley 24.557 (texto Infoleg consultado)</t>
        </is>
      </c>
      <c r="E13" s="10" t="inlineStr">
        <is>
          <t>Normativo (verificado)</t>
        </is>
      </c>
    </row>
    <row r="14">
      <c r="A14" s="10" t="inlineStr">
        <is>
          <t>Trabajador</t>
        </is>
      </c>
      <c r="B14" s="10" t="inlineStr">
        <is>
          <t>Usar los elementos de protección y respetar procedimientos</t>
        </is>
      </c>
      <c r="C14" s="10" t="inlineStr">
        <is>
          <t>Uso correcto de EPP y cumplimiento de procedimientos seguros.</t>
        </is>
      </c>
      <c r="D14" s="10" t="inlineStr">
        <is>
          <t>Conocimiento técnico general</t>
        </is>
      </c>
      <c r="E14" s="10" t="inlineStr">
        <is>
          <t>Conocimiento técnico general</t>
        </is>
      </c>
    </row>
    <row r="16">
      <c r="A16" s="4" t="inlineStr">
        <is>
          <t>Programa de Empleadores con Siniestralidad Elevada (PESE) y PESE-PyMES</t>
        </is>
      </c>
      <c r="B16" s="5" t="n"/>
      <c r="C16" s="5" t="n"/>
      <c r="D16" s="5" t="n"/>
      <c r="E16" s="5" t="n"/>
    </row>
    <row r="17">
      <c r="A17" s="20" t="inlineStr">
        <is>
          <t>Componente</t>
        </is>
      </c>
      <c r="B17" s="20" t="inlineStr">
        <is>
          <t>Elemento</t>
        </is>
      </c>
      <c r="C17" s="20" t="inlineStr">
        <is>
          <t>Detalle confirmado</t>
        </is>
      </c>
      <c r="D17" s="20" t="inlineStr">
        <is>
          <t>Fuente</t>
        </is>
      </c>
      <c r="E17" s="20" t="inlineStr">
        <is>
          <t>Estado</t>
        </is>
      </c>
    </row>
    <row r="18">
      <c r="A18" s="10" t="inlineStr">
        <is>
          <t>Creación</t>
        </is>
      </c>
      <c r="B18" s="10" t="inlineStr">
        <is>
          <t>PESE</t>
        </is>
      </c>
      <c r="C18" s="10" t="inlineStr">
        <is>
          <t>Res. SRT 363/2016 (09/09/2016) crea el P.E.S.E.</t>
        </is>
      </c>
      <c r="D18" s="10" t="inlineStr">
        <is>
          <t>Boletín Oficial / SRT</t>
        </is>
      </c>
      <c r="E18" s="10" t="inlineStr">
        <is>
          <t>Verificado</t>
        </is>
      </c>
    </row>
    <row r="19">
      <c r="A19" s="10" t="inlineStr">
        <is>
          <t>Creación</t>
        </is>
      </c>
      <c r="B19" s="10" t="inlineStr">
        <is>
          <t>PESE-PyMES</t>
        </is>
      </c>
      <c r="C19" s="10" t="inlineStr">
        <is>
          <t>Res. SRT 20/2018 (09/03/2018; BO 13/03/2018) crea el P.E.S.E.-PyMES.</t>
        </is>
      </c>
      <c r="D19" s="10" t="inlineStr">
        <is>
          <t>Boletín Oficial</t>
        </is>
      </c>
      <c r="E19" s="10" t="inlineStr">
        <is>
          <t>Verificado</t>
        </is>
      </c>
    </row>
    <row r="20">
      <c r="A20" s="10" t="inlineStr">
        <is>
          <t>Alcance</t>
        </is>
      </c>
      <c r="B20" s="10" t="inlineStr">
        <is>
          <t>PESE</t>
        </is>
      </c>
      <c r="C20" s="10" t="inlineStr">
        <is>
          <t>Empleadores con nómina igual o mayor a 50 trabajadores y alta siniestralidad (descripción de la SRT).</t>
        </is>
      </c>
      <c r="D20" s="10" t="inlineStr">
        <is>
          <t>argentina.gob.ar/node/128529</t>
        </is>
      </c>
      <c r="E20" s="10" t="inlineStr">
        <is>
          <t>Verificado (descripción SRT)</t>
        </is>
      </c>
    </row>
    <row r="21">
      <c r="A21" s="10" t="inlineStr">
        <is>
          <t>Ingreso</t>
        </is>
      </c>
      <c r="B21" s="10" t="inlineStr">
        <is>
          <t>Criterio</t>
        </is>
      </c>
      <c r="C21" s="10" t="inlineStr">
        <is>
          <t>Superar en 30% el índice de incidencia de AT (sin in itinere) y EP del sector según su actividad (descripción de la SRT, que remite a la Res. 20/2018). Se evalúa anualmente.</t>
        </is>
      </c>
      <c r="D21" s="10" t="inlineStr">
        <is>
          <t>argentina.gob.ar/node/128529 y /127740</t>
        </is>
      </c>
      <c r="E21" s="10" t="inlineStr">
        <is>
          <t>Verificado (descripción SRT)</t>
        </is>
      </c>
    </row>
    <row r="22">
      <c r="A22" s="10" t="inlineStr">
        <is>
          <t>Duración</t>
        </is>
      </c>
      <c r="B22" s="10" t="inlineStr">
        <is>
          <t>Muestra</t>
        </is>
      </c>
      <c r="C22" s="10" t="inlineStr">
        <is>
          <t>La muestra de PESE-PyMES dura dos años.</t>
        </is>
      </c>
      <c r="D22" s="10" t="inlineStr">
        <is>
          <t>argentina.gob.ar/node/127740</t>
        </is>
      </c>
      <c r="E22" s="10" t="inlineStr">
        <is>
          <t>Verificado</t>
        </is>
      </c>
    </row>
    <row r="23">
      <c r="A23" s="10" t="inlineStr">
        <is>
          <t>Obligaciones del empleador</t>
        </is>
      </c>
      <c r="B23" s="10" t="inlineStr">
        <is>
          <t>Documentos y acciones</t>
        </is>
      </c>
      <c r="C23" s="10" t="inlineStr">
        <is>
          <t>Confeccionar el Informe General del Empleador (IGE); suscribir un Plan de Reducción de la Siniestralidad (PRS) con plan de visitas; actualizar el Relevamiento General de Riesgos Laborales (RGRL); permitir las visitas de la ART.</t>
        </is>
      </c>
      <c r="D23" s="10" t="inlineStr">
        <is>
          <t>argentina.gob.ar/node/127740</t>
        </is>
      </c>
      <c r="E23" s="10" t="inlineStr">
        <is>
          <t>Verificado</t>
        </is>
      </c>
    </row>
    <row r="24">
      <c r="A24" s="10" t="inlineStr">
        <is>
          <t>Obligaciones de la ART</t>
        </is>
      </c>
      <c r="B24" s="10" t="inlineStr">
        <is>
          <t>Acciones</t>
        </is>
      </c>
      <c r="C24" s="10" t="inlineStr">
        <is>
          <t>Notificar la inclusión al empleador con el detalle informativo; remitir el IGE y el PRS a la SRT; cumplir e informar el plan de visitas; respetar los plazos.</t>
        </is>
      </c>
      <c r="D24" s="10" t="inlineStr">
        <is>
          <t>argentina.gob.ar/node/127740</t>
        </is>
      </c>
      <c r="E24" s="10" t="inlineStr">
        <is>
          <t>Verificado</t>
        </is>
      </c>
    </row>
    <row r="25">
      <c r="A25" s="10" t="inlineStr">
        <is>
          <t>Actividades alcanzadas</t>
        </is>
      </c>
      <c r="B25" s="10" t="inlineStr">
        <is>
          <t>PESE-PyMES</t>
        </is>
      </c>
      <c r="C25" s="10" t="inlineStr">
        <is>
          <t>La SRT indica que el listado corresponde a actividades manufactureras (Anexo II). No se verificó si el CIIU de papel y celulosa figura en ese anexo.</t>
        </is>
      </c>
      <c r="D25" s="10" t="inlineStr">
        <is>
          <t>argentina.gob.ar/node/127740</t>
        </is>
      </c>
      <c r="E25" s="10" t="inlineStr">
        <is>
          <t>No disponible</t>
        </is>
      </c>
    </row>
    <row r="27" ht="36" customHeight="1">
      <c r="A27" s="19" t="inlineStr">
        <is>
          <t>Referencias a medidas de la Res. SRT 61/2023 (trabajos en altura) se vinculan con la matriz de la hoja Papel y celulosa. No se afirma que alguna empresa de Misiones integre el PESE: dato no disponible.</t>
        </is>
      </c>
    </row>
  </sheetData>
  <autoFilter ref="A4:E14"/>
  <mergeCells count="1">
    <mergeCell ref="A27:E27"/>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44" customWidth="1" min="3" max="3"/>
    <col width="44" customWidth="1" min="4" max="4"/>
    <col width="58" customWidth="1" min="5" max="5"/>
    <col width="28" customWidth="1" min="6" max="6"/>
    <col width="26" customWidth="1" min="7" max="7"/>
  </cols>
  <sheetData>
    <row r="1">
      <c r="A1" s="7" t="inlineStr">
        <is>
          <t>Matriz de riesgos técnicos: papel y celulosa</t>
        </is>
      </c>
    </row>
    <row r="2">
      <c r="A2" s="8" t="inlineStr">
        <is>
          <t>Conocimiento técnico general sobre la actividad. NO son estadísticas de accidentes ocurridos en empresas de Misiones.</t>
        </is>
      </c>
    </row>
    <row r="4">
      <c r="A4" s="9" t="inlineStr">
        <is>
          <t>N°</t>
        </is>
      </c>
      <c r="B4" s="9" t="inlineStr">
        <is>
          <t>Riesgo</t>
        </is>
      </c>
      <c r="C4" s="9" t="inlineStr">
        <is>
          <t>Fuente típica del peligro</t>
        </is>
      </c>
      <c r="D4" s="9" t="inlineStr">
        <is>
          <t>Posibles consecuencias</t>
        </is>
      </c>
      <c r="E4" s="9" t="inlineStr">
        <is>
          <t>Medidas preventivas (genéricas)</t>
        </is>
      </c>
      <c r="F4" s="9" t="inlineStr">
        <is>
          <t>Norma verificada vinculada</t>
        </is>
      </c>
      <c r="G4" s="9" t="inlineStr">
        <is>
          <t>Tipo de información</t>
        </is>
      </c>
    </row>
    <row r="5">
      <c r="A5" s="10" t="n">
        <v>1</v>
      </c>
      <c r="B5" s="10" t="inlineStr">
        <is>
          <t>Maquinaria, rodillos, cintas, prensas y atrapamientos</t>
        </is>
      </c>
      <c r="C5" s="10" t="inlineStr">
        <is>
          <t>Puntos de atrapamiento entre rodillos, cilindros, cintas transportadoras y prensas.</t>
        </is>
      </c>
      <c r="D5" s="10" t="inlineStr">
        <is>
          <t>Atrapamiento, amputación, aplastamiento.</t>
        </is>
      </c>
      <c r="E5" s="10" t="inlineStr">
        <is>
          <t>Guardas fijas y enclavadas, paradas de emergencia, bloqueo-etiquetado, prohibición de intervenir en marcha, capacitación.</t>
        </is>
      </c>
      <c r="F5" s="10" t="inlineStr">
        <is>
          <t>Ninguna verificada en este libro</t>
        </is>
      </c>
      <c r="G5" s="10" t="inlineStr">
        <is>
          <t>Conocimiento técnico general</t>
        </is>
      </c>
    </row>
    <row r="6">
      <c r="A6" s="10" t="n">
        <v>2</v>
      </c>
      <c r="B6" s="10" t="inlineStr">
        <is>
          <t>Corte, guillotinado y bobinado</t>
        </is>
      </c>
      <c r="C6" s="10" t="inlineStr">
        <is>
          <t>Cuchillas, cortadoras, guillotinas, bobinadoras y manejo de bobinas.</t>
        </is>
      </c>
      <c r="D6" s="10" t="inlineStr">
        <is>
          <t>Cortes, amputaciones, golpes por bobinas.</t>
        </is>
      </c>
      <c r="E6" s="10" t="inlineStr">
        <is>
          <t>Protección de cuchillas, procedimientos de cambio de cuchillas, EPP anticorte, manejo mecanizado de bobinas.</t>
        </is>
      </c>
      <c r="F6" s="10" t="inlineStr">
        <is>
          <t>Ninguna verificada en este libro</t>
        </is>
      </c>
      <c r="G6" s="10" t="inlineStr">
        <is>
          <t>Conocimiento técnico general</t>
        </is>
      </c>
    </row>
    <row r="7">
      <c r="A7" s="10" t="n">
        <v>3</v>
      </c>
      <c r="B7" s="10" t="inlineStr">
        <is>
          <t>Calderas, vapor, presión y altas temperaturas</t>
        </is>
      </c>
      <c r="C7" s="10" t="inlineStr">
        <is>
          <t>Generación y distribución de vapor, recipientes a presión, secadores.</t>
        </is>
      </c>
      <c r="D7" s="10" t="inlineStr">
        <is>
          <t>Quemaduras, explosión de equipos a presión.</t>
        </is>
      </c>
      <c r="E7" s="10" t="inlineStr">
        <is>
          <t>Inspecciones y ensayos periódicos, válvulas de seguridad, aislación térmica, operadores capacitados, mantenimiento programado.</t>
        </is>
      </c>
      <c r="F7" s="10" t="inlineStr">
        <is>
          <t>Ninguna verificada en este libro</t>
        </is>
      </c>
      <c r="G7" s="10" t="inlineStr">
        <is>
          <t>Conocimiento técnico general</t>
        </is>
      </c>
    </row>
    <row r="8">
      <c r="A8" s="10" t="n">
        <v>4</v>
      </c>
      <c r="B8" s="10" t="inlineStr">
        <is>
          <t>Productos químicos de pulpeado, blanqueo y tratamiento</t>
        </is>
      </c>
      <c r="C8" s="10" t="inlineStr">
        <is>
          <t>Reactivos de cocción, blanqueo y tratamiento de agua y efluentes.</t>
        </is>
      </c>
      <c r="D8" s="10" t="inlineStr">
        <is>
          <t>Quemaduras químicas, intoxicación, irritación.</t>
        </is>
      </c>
      <c r="E8" s="10" t="inlineStr">
        <is>
          <t>Hojas de seguridad, etiquetado, ventilación y captación, duchas y lavaojos, EPP químico, almacenamiento segregado.</t>
        </is>
      </c>
      <c r="F8" s="10" t="inlineStr">
        <is>
          <t>Ninguna verificada en este libro</t>
        </is>
      </c>
      <c r="G8" s="10" t="inlineStr">
        <is>
          <t>Conocimiento técnico general</t>
        </is>
      </c>
    </row>
    <row r="9">
      <c r="A9" s="10" t="n">
        <v>5</v>
      </c>
      <c r="B9" s="10" t="inlineStr">
        <is>
          <t>Incendio y explosión por polvo combustible</t>
        </is>
      </c>
      <c r="C9" s="10" t="inlineStr">
        <is>
          <t>Polvos finos y fibras acumulados, fuentes de ignición, materia prima combustible.</t>
        </is>
      </c>
      <c r="D9" s="10" t="inlineStr">
        <is>
          <t>Incendio, deflagración, lesiones graves.</t>
        </is>
      </c>
      <c r="E9" s="10" t="inlineStr">
        <is>
          <t>Limpieza programada, control de fuentes de ignición, captación de polvo, zonificación, detección y extinción, plan de emergencia.</t>
        </is>
      </c>
      <c r="F9" s="10" t="inlineStr">
        <is>
          <t>Ninguna verificada en este libro</t>
        </is>
      </c>
      <c r="G9" s="10" t="inlineStr">
        <is>
          <t>Conocimiento técnico general</t>
        </is>
      </c>
    </row>
    <row r="10">
      <c r="A10" s="10" t="n">
        <v>6</v>
      </c>
      <c r="B10" s="10" t="inlineStr">
        <is>
          <t>Ruido y vibraciones</t>
        </is>
      </c>
      <c r="C10" s="10" t="inlineStr">
        <is>
          <t>Máquinas de alta velocidad, desfibradores, compresores, herramientas.</t>
        </is>
      </c>
      <c r="D10" s="10" t="inlineStr">
        <is>
          <t>Hipoacusia, afecciones por vibración.</t>
        </is>
      </c>
      <c r="E10" s="10" t="inlineStr">
        <is>
          <t>Mediciones, control en la fuente, encapsulado, rotación, protección auditiva, audiometrías.</t>
        </is>
      </c>
      <c r="F10" s="10" t="inlineStr">
        <is>
          <t>Ninguna verificada en este libro</t>
        </is>
      </c>
      <c r="G10" s="10" t="inlineStr">
        <is>
          <t>Conocimiento técnico general</t>
        </is>
      </c>
    </row>
    <row r="11">
      <c r="A11" s="10" t="n">
        <v>7</v>
      </c>
      <c r="B11" s="10" t="inlineStr">
        <is>
          <t>Manipulación de cargas</t>
        </is>
      </c>
      <c r="C11" s="10" t="inlineStr">
        <is>
          <t>Bobinas, resmas, bolsas, insumos, tareas manuales repetitivas.</t>
        </is>
      </c>
      <c r="D11" s="10" t="inlineStr">
        <is>
          <t>Lesiones musculoesqueléticas.</t>
        </is>
      </c>
      <c r="E11" s="10" t="inlineStr">
        <is>
          <t>Ayudas mecánicas, reducción de peso, capacitación en postura, rotación, diseño de puestos.</t>
        </is>
      </c>
      <c r="F11" s="10" t="inlineStr">
        <is>
          <t>Ninguna verificada en este libro</t>
        </is>
      </c>
      <c r="G11" s="10" t="inlineStr">
        <is>
          <t>Conocimiento técnico general</t>
        </is>
      </c>
    </row>
    <row r="12">
      <c r="A12" s="10" t="n">
        <v>8</v>
      </c>
      <c r="B12" s="10" t="inlineStr">
        <is>
          <t>Autoelevadores y circulación interna</t>
        </is>
      </c>
      <c r="C12" s="10" t="inlineStr">
        <is>
          <t>Tránsito de autoelevadores, camiones y peatones en planta y patios.</t>
        </is>
      </c>
      <c r="D12" s="10" t="inlineStr">
        <is>
          <t>Atropello, vuelco, golpes, caída de carga.</t>
        </is>
      </c>
      <c r="E12" s="10" t="inlineStr">
        <is>
          <t>Segregación de rutas, señalización, límite de velocidad, habilitación de operadores, mantenimiento, cinturón y alarmas.</t>
        </is>
      </c>
      <c r="F12" s="10" t="inlineStr">
        <is>
          <t>Ninguna verificada en este libro</t>
        </is>
      </c>
      <c r="G12" s="10" t="inlineStr">
        <is>
          <t>Conocimiento técnico general</t>
        </is>
      </c>
    </row>
    <row r="13">
      <c r="A13" s="10" t="n">
        <v>9</v>
      </c>
      <c r="B13" s="10" t="inlineStr">
        <is>
          <t>Trabajos en altura y espacios confinados</t>
        </is>
      </c>
      <c r="C13" s="10" t="inlineStr">
        <is>
          <t>Pasarelas, cubiertas, tolvas, tanques, cámaras y silos.</t>
        </is>
      </c>
      <c r="D13" s="10" t="inlineStr">
        <is>
          <t>Caídas, asfixia, intoxicación, atrapamiento.</t>
        </is>
      </c>
      <c r="E13" s="10" t="inlineStr">
        <is>
          <t>Sistemas de arresto de caídas, permisos de trabajo, medición de atmósfera, ventilación, vigía y plan de rescate.</t>
        </is>
      </c>
      <c r="F13" s="10" t="inlineStr">
        <is>
          <t>Res. SRT 61/2023 (solo trabajos en altura)</t>
        </is>
      </c>
      <c r="G13" s="10" t="inlineStr">
        <is>
          <t>Conocimiento técnico general</t>
        </is>
      </c>
    </row>
    <row r="14">
      <c r="A14" s="10" t="n">
        <v>10</v>
      </c>
      <c r="B14" s="10" t="inlineStr">
        <is>
          <t>Energías peligrosas y bloqueo-etiquetado</t>
        </is>
      </c>
      <c r="C14" s="10" t="inlineStr">
        <is>
          <t>Energía eléctrica, mecánica, neumática, hidráulica, térmica y almacenada.</t>
        </is>
      </c>
      <c r="D14" s="10" t="inlineStr">
        <is>
          <t>Arranque inesperado, electrocución, liberación súbita.</t>
        </is>
      </c>
      <c r="E14" s="10" t="inlineStr">
        <is>
          <t>Procedimiento de bloqueo-etiquetado, verificación de energía cero, candados personales, capacitación y auditoría.</t>
        </is>
      </c>
      <c r="F14" s="10" t="inlineStr">
        <is>
          <t>Ninguna verificada en este libro</t>
        </is>
      </c>
      <c r="G14" s="10" t="inlineStr">
        <is>
          <t>Conocimiento técnico general</t>
        </is>
      </c>
    </row>
    <row r="15">
      <c r="A15" s="10" t="n">
        <v>11</v>
      </c>
      <c r="B15" s="10" t="inlineStr">
        <is>
          <t>Riesgos ergonómicos</t>
        </is>
      </c>
      <c r="C15" s="10" t="inlineStr">
        <is>
          <t>Posturas forzadas, tareas repetitivas, turnos extensos y rotativos.</t>
        </is>
      </c>
      <c r="D15" s="10" t="inlineStr">
        <is>
          <t>Trastornos musculoesqueléticos, fatiga.</t>
        </is>
      </c>
      <c r="E15" s="10" t="inlineStr">
        <is>
          <t>Evaluación ergonómica, rediseño de puestos, pausas, rotación, gestión de turnos.</t>
        </is>
      </c>
      <c r="F15" s="10" t="inlineStr">
        <is>
          <t>Ninguna verificada en este libro</t>
        </is>
      </c>
      <c r="G15" s="10" t="inlineStr">
        <is>
          <t>Conocimiento técnico general</t>
        </is>
      </c>
    </row>
    <row r="16">
      <c r="A16" s="10" t="n">
        <v>12</v>
      </c>
      <c r="B16" s="10" t="inlineStr">
        <is>
          <t>Exposición biológica o química en tratamiento de efluentes</t>
        </is>
      </c>
      <c r="C16" s="10" t="inlineStr">
        <is>
          <t>Lodos, gases, aguas residuales y reactivos.</t>
        </is>
      </c>
      <c r="D16" s="10" t="inlineStr">
        <is>
          <t>Intoxicación, infecciones, irritación.</t>
        </is>
      </c>
      <c r="E16" s="10" t="inlineStr">
        <is>
          <t>Procedimientos, detección de gases, EPP, higiene personal, vacunación según evaluación médica.</t>
        </is>
      </c>
      <c r="F16" s="10" t="inlineStr">
        <is>
          <t>Ninguna verificada en este libro</t>
        </is>
      </c>
      <c r="G16" s="10" t="inlineStr">
        <is>
          <t>Conocimiento técnico general</t>
        </is>
      </c>
    </row>
    <row r="17">
      <c r="A17" s="10" t="n">
        <v>13</v>
      </c>
      <c r="B17" s="10" t="inlineStr">
        <is>
          <t>Accidentes durante mantenimiento, limpieza y desatascos</t>
        </is>
      </c>
      <c r="C17" s="10" t="inlineStr">
        <is>
          <t>Intervenciones en equipos en marcha o recién detenidos, tareas no rutinarias.</t>
        </is>
      </c>
      <c r="D17" s="10" t="inlineStr">
        <is>
          <t>Atrapamiento, quemaduras, caídas, cortes.</t>
        </is>
      </c>
      <c r="E17" s="10" t="inlineStr">
        <is>
          <t>Análisis de riesgos de la tarea, bloqueo-etiquetado, permisos de trabajo, coordinación con operación, contratistas capacitados.</t>
        </is>
      </c>
      <c r="F17" s="10" t="inlineStr">
        <is>
          <t>Ninguna verificada en este libro</t>
        </is>
      </c>
      <c r="G17" s="10" t="inlineStr">
        <is>
          <t>Conocimiento técnico general</t>
        </is>
      </c>
    </row>
    <row r="19" ht="30" customHeight="1">
      <c r="A19" s="19" t="inlineStr">
        <is>
          <t>Aclaración: esta matriz identifica riesgos técnicos propios de la actividad. No contiene estadísticas de accidentes, frecuencia ni gravedad de empresas de Misiones, ni atribuye hechos o costos a ninguna empresa en particular.</t>
        </is>
      </c>
    </row>
  </sheetData>
  <autoFilter ref="A4:G17"/>
  <mergeCells count="1">
    <mergeCell ref="A19:G19"/>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8" customWidth="1" min="4" max="4"/>
    <col width="26" customWidth="1" min="5" max="5"/>
    <col width="70" customWidth="1" min="6" max="6"/>
    <col width="40" customWidth="1" min="7" max="7"/>
  </cols>
  <sheetData>
    <row r="1">
      <c r="A1" s="7" t="inlineStr">
        <is>
          <t>Fuentes consultadas</t>
        </is>
      </c>
    </row>
    <row r="2">
      <c r="A2" s="8" t="inlineStr">
        <is>
          <t>Fecha de consulta: 30/09/2026. Las fuentes secundarias se identifican como tales y deben contrastarse con el Boletín Oficial.</t>
        </is>
      </c>
    </row>
    <row r="4">
      <c r="A4" s="9" t="inlineStr">
        <is>
          <t>ID</t>
        </is>
      </c>
      <c r="B4" s="9" t="inlineStr">
        <is>
          <t>Institución</t>
        </is>
      </c>
      <c r="C4" s="9" t="inlineStr">
        <is>
          <t>Documento</t>
        </is>
      </c>
      <c r="D4" s="9" t="inlineStr">
        <is>
          <t>Año</t>
        </is>
      </c>
      <c r="E4" s="9" t="inlineStr">
        <is>
          <t>Tipo de fuente</t>
        </is>
      </c>
      <c r="F4" s="9" t="inlineStr">
        <is>
          <t>Enlace</t>
        </is>
      </c>
      <c r="G4" s="9" t="inlineStr">
        <is>
          <t>Observaciones</t>
        </is>
      </c>
    </row>
    <row r="5">
      <c r="A5" s="10" t="n">
        <v>1</v>
      </c>
      <c r="B5" s="10" t="inlineStr">
        <is>
          <t>Boletín Oficial de la República Argentina</t>
        </is>
      </c>
      <c r="C5" s="10" t="inlineStr">
        <is>
          <t>Disposición SRT 1/2021</t>
        </is>
      </c>
      <c r="D5" s="10" t="n">
        <v>2021</v>
      </c>
      <c r="E5" s="10" t="inlineStr">
        <is>
          <t>Oficial</t>
        </is>
      </c>
      <c r="F5" s="22" t="inlineStr">
        <is>
          <t>https://www.boletinoficial.gob.ar/detalleAviso/primera/247981/20210811</t>
        </is>
      </c>
      <c r="G5" s="10" t="inlineStr">
        <is>
          <t>Texto oficial; ver también argentina.gob.ar/normativa/nacional/norma-352833.</t>
        </is>
      </c>
    </row>
    <row r="6">
      <c r="A6" s="10" t="n">
        <v>2</v>
      </c>
      <c r="B6" s="10" t="inlineStr">
        <is>
          <t>SRT (biblioteca)</t>
        </is>
      </c>
      <c r="C6" s="10" t="inlineStr">
        <is>
          <t>Actualización normativa 2022 (compilación)</t>
        </is>
      </c>
      <c r="D6" s="10" t="n">
        <v>2022</v>
      </c>
      <c r="E6" s="10" t="inlineStr">
        <is>
          <t>Oficial</t>
        </is>
      </c>
      <c r="F6" s="22" t="inlineStr">
        <is>
          <t>https://www.argentina.gob.ar/sites/default/files/actualizacion_normativa_2022_-2.pdf</t>
        </is>
      </c>
      <c r="G6" s="10" t="inlineStr">
        <is>
          <t>Lista la Res. Conjunta SRT-SSN 2/2022 (BO 02/12/2022) sin detallar su contenido.</t>
        </is>
      </c>
    </row>
    <row r="7">
      <c r="A7" s="10" t="n">
        <v>3</v>
      </c>
      <c r="B7" s="10" t="inlineStr">
        <is>
          <t>argentina.gob.ar – Normativa</t>
        </is>
      </c>
      <c r="C7" s="10" t="inlineStr">
        <is>
          <t>Resolución SRT 61/2023</t>
        </is>
      </c>
      <c r="D7" s="10" t="n">
        <v>2023</v>
      </c>
      <c r="E7" s="10" t="inlineStr">
        <is>
          <t>Oficial</t>
        </is>
      </c>
      <c r="F7" s="22" t="inlineStr">
        <is>
          <t>https://www.argentina.gob.ar/normativa/nacional/resoluci%C3%B3n-61-2023-394625/texto</t>
        </is>
      </c>
      <c r="G7" s="10" t="inlineStr">
        <is>
          <t>Texto oficial; BO 06/12/2023.</t>
        </is>
      </c>
    </row>
    <row r="8">
      <c r="A8" s="10" t="n">
        <v>4</v>
      </c>
      <c r="B8" s="10" t="inlineStr">
        <is>
          <t>Blog del Contador (+BDC)</t>
        </is>
      </c>
      <c r="C8" s="10" t="inlineStr">
        <is>
          <t>Resolución SRT 34/2024 – ficha</t>
        </is>
      </c>
      <c r="D8" s="10" t="n">
        <v>2024</v>
      </c>
      <c r="E8" s="10" t="inlineStr">
        <is>
          <t>Secundaria</t>
        </is>
      </c>
      <c r="F8" s="22" t="inlineStr">
        <is>
          <t>https://siap.blogdelcontador.com.ar/?p=54143</t>
        </is>
      </c>
      <c r="G8" s="10" t="inlineStr">
        <is>
          <t>Solo ficha informativa; texto restringido.</t>
        </is>
      </c>
    </row>
    <row r="9">
      <c r="A9" s="10" t="n">
        <v>5</v>
      </c>
      <c r="B9" s="10" t="inlineStr">
        <is>
          <t>Microjuris – Al día Argentina</t>
        </is>
      </c>
      <c r="C9" s="10" t="inlineStr">
        <is>
          <t>Resolución SRT 23/2026 (cita a la Res. SRT 34/2025)</t>
        </is>
      </c>
      <c r="D9" s="10" t="n">
        <v>2026</v>
      </c>
      <c r="E9" s="10" t="inlineStr">
        <is>
          <t>Secundaria</t>
        </is>
      </c>
      <c r="F9" s="22" t="inlineStr">
        <is>
          <t>https://aldiaargentina.microjuris.com/2026/05/19/legislacion-riesgos-del-trabajo-nuevos-parametros-de-referencia-para-el-calculo-de-deudas-por-falta-de-afiliacion-al-sistema/</t>
        </is>
      </c>
      <c r="G9" s="10" t="inlineStr">
        <is>
          <t>Confirma fecha y objeto de la Res. SRT 34/2025.</t>
        </is>
      </c>
    </row>
    <row r="10">
      <c r="A10" s="10" t="n">
        <v>6</v>
      </c>
      <c r="B10" s="10" t="inlineStr">
        <is>
          <t>Blog del Contador (+BDC)</t>
        </is>
      </c>
      <c r="C10" s="10" t="inlineStr">
        <is>
          <t>Resolución SRT 23/2026 – nota</t>
        </is>
      </c>
      <c r="D10" s="10" t="n">
        <v>2026</v>
      </c>
      <c r="E10" s="10" t="inlineStr">
        <is>
          <t>Secundaria</t>
        </is>
      </c>
      <c r="F10" s="22" t="inlineStr">
        <is>
          <t>https://siap.blogdelcontador.com.ar/?p=84719</t>
        </is>
      </c>
      <c r="G10" s="10" t="inlineStr">
        <is>
          <t>Alícuotas promedio 2025; aplicación 04/2026-03/2027.</t>
        </is>
      </c>
    </row>
    <row r="11">
      <c r="A11" s="10" t="n">
        <v>7</v>
      </c>
      <c r="B11" s="10" t="inlineStr">
        <is>
          <t>Boletín Oficial de la República Argentina</t>
        </is>
      </c>
      <c r="C11" s="10" t="inlineStr">
        <is>
          <t>Resolución SRT 79/2024 – Plan Estratégico 2024-2027</t>
        </is>
      </c>
      <c r="D11" s="10" t="n">
        <v>2024</v>
      </c>
      <c r="E11" s="10" t="inlineStr">
        <is>
          <t>Oficial</t>
        </is>
      </c>
      <c r="F11" s="22" t="inlineStr">
        <is>
          <t>https://www.boletinoficial.gob.ar/detalleAviso/primera/317574/1</t>
        </is>
      </c>
      <c r="G11" s="10" t="inlineStr">
        <is>
          <t>BO 02/12/2024.</t>
        </is>
      </c>
    </row>
    <row r="12">
      <c r="A12" s="10" t="n">
        <v>8</v>
      </c>
      <c r="B12" s="10" t="inlineStr">
        <is>
          <t>Boletín Oficial de la República Argentina</t>
        </is>
      </c>
      <c r="C12" s="10" t="inlineStr">
        <is>
          <t>Resolución SRT 69/2024 – tecnologías emergentes</t>
        </is>
      </c>
      <c r="D12" s="10" t="n">
        <v>2024</v>
      </c>
      <c r="E12" s="10" t="inlineStr">
        <is>
          <t>Oficial</t>
        </is>
      </c>
      <c r="F12" s="22" t="inlineStr">
        <is>
          <t>https://www.boletinoficial.gob.ar/detalleAviso/primera/315671/1</t>
        </is>
      </c>
      <c r="G12" s="10" t="inlineStr">
        <is>
          <t>Solo considerandos leídos.</t>
        </is>
      </c>
    </row>
    <row r="13">
      <c r="A13" s="10" t="n">
        <v>9</v>
      </c>
      <c r="B13" s="10" t="inlineStr">
        <is>
          <t>Boletín Oficial de la República Argentina</t>
        </is>
      </c>
      <c r="C13" s="10" t="inlineStr">
        <is>
          <t>Resolución SRT 20/2018 – PESE-PyMES</t>
        </is>
      </c>
      <c r="D13" s="10" t="n">
        <v>2018</v>
      </c>
      <c r="E13" s="10" t="inlineStr">
        <is>
          <t>Oficial</t>
        </is>
      </c>
      <c r="F13" s="22" t="inlineStr">
        <is>
          <t>https://www.boletinoficial.gob.ar/detalleAviso/primera/180086/20180313</t>
        </is>
      </c>
      <c r="G13" s="10" t="inlineStr">
        <is>
          <t>BO 13/03/2018.</t>
        </is>
      </c>
    </row>
    <row r="14">
      <c r="A14" s="10" t="n">
        <v>10</v>
      </c>
      <c r="B14" s="10" t="inlineStr">
        <is>
          <t>SRT – argentina.gob.ar</t>
        </is>
      </c>
      <c r="C14" s="10" t="inlineStr">
        <is>
          <t>Programa PESE-PyMES (obligaciones y alcance)</t>
        </is>
      </c>
      <c r="D14" s="10" t="inlineStr">
        <is>
          <t>s/d</t>
        </is>
      </c>
      <c r="E14" s="10" t="inlineStr">
        <is>
          <t>Oficial</t>
        </is>
      </c>
      <c r="F14" s="22" t="inlineStr">
        <is>
          <t>https://www.argentina.gob.ar/node/127740</t>
        </is>
      </c>
      <c r="G14" s="10" t="inlineStr">
        <is>
          <t>Fecha de publicación de la página: no disponible.</t>
        </is>
      </c>
    </row>
    <row r="15">
      <c r="A15" s="10" t="n">
        <v>11</v>
      </c>
      <c r="B15" s="10" t="inlineStr">
        <is>
          <t>SRT – argentina.gob.ar</t>
        </is>
      </c>
      <c r="C15" s="10" t="inlineStr">
        <is>
          <t>Programas preventivos de la SRT (PESE, autoseguro, riesgo por actividad)</t>
        </is>
      </c>
      <c r="D15" s="10" t="inlineStr">
        <is>
          <t>s/d</t>
        </is>
      </c>
      <c r="E15" s="10" t="inlineStr">
        <is>
          <t>Oficial</t>
        </is>
      </c>
      <c r="F15" s="22" t="inlineStr">
        <is>
          <t>https://www.argentina.gob.ar/node/128529</t>
        </is>
      </c>
      <c r="G15" s="10" t="inlineStr">
        <is>
          <t>Fecha de publicación: no disponible.</t>
        </is>
      </c>
    </row>
    <row r="16">
      <c r="A16" s="10" t="n">
        <v>12</v>
      </c>
      <c r="B16" s="10" t="inlineStr">
        <is>
          <t>Infoleg – Ministerio de Justicia</t>
        </is>
      </c>
      <c r="C16" s="10" t="inlineStr">
        <is>
          <t>Ley 24.557 – texto actualizado</t>
        </is>
      </c>
      <c r="D16" s="10" t="inlineStr">
        <is>
          <t>s/d</t>
        </is>
      </c>
      <c r="E16" s="10" t="inlineStr">
        <is>
          <t>Oficial</t>
        </is>
      </c>
      <c r="F16" s="22" t="inlineStr">
        <is>
          <t>https://servicios.infoleg.gob.ar/infolegInternet/anexos/25000-29999/27971/texact.htm</t>
        </is>
      </c>
      <c r="G16" s="10" t="inlineStr">
        <is>
          <t>Registra modificaciones posteriores; consultar el texto vigente.</t>
        </is>
      </c>
    </row>
    <row r="17">
      <c r="A17" s="10" t="n">
        <v>13</v>
      </c>
      <c r="B17" s="10" t="inlineStr">
        <is>
          <t>Justia Argentina</t>
        </is>
      </c>
      <c r="C17" s="10" t="inlineStr">
        <is>
          <t>Decreto 717/1996</t>
        </is>
      </c>
      <c r="D17" s="10" t="n">
        <v>1996</v>
      </c>
      <c r="E17" s="10" t="inlineStr">
        <is>
          <t>Secundaria</t>
        </is>
      </c>
      <c r="F17" s="22" t="inlineStr">
        <is>
          <t>https://docs.argentina.justia.com/federales/decretos/decreto-n-717-1996-jul-12-1996.pdf</t>
        </is>
      </c>
      <c r="G17" s="10" t="inlineStr">
        <is>
          <t>Reproducción del Boletín Oficial 12/07/1996.</t>
        </is>
      </c>
    </row>
    <row r="18">
      <c r="A18" s="10" t="n">
        <v>14</v>
      </c>
      <c r="B18" s="10" t="inlineStr">
        <is>
          <t>Material de partida</t>
        </is>
      </c>
      <c r="C18" s="10" t="inlineStr">
        <is>
          <t>Documento de investigación aportado por la persona autora</t>
        </is>
      </c>
      <c r="D18" s="10" t="inlineStr">
        <is>
          <t>s/d</t>
        </is>
      </c>
      <c r="E18" s="10" t="inlineStr">
        <is>
          <t>Documento del trabajo</t>
        </is>
      </c>
      <c r="F18" s="10" t="inlineStr">
        <is>
          <t>No disponible</t>
        </is>
      </c>
      <c r="G18" s="10" t="inlineStr">
        <is>
          <t>Fuente de las normas a verificar y de la fórmula de cuota; sin enlace.</t>
        </is>
      </c>
    </row>
    <row r="19">
      <c r="A19" s="10" t="n">
        <v>15</v>
      </c>
      <c r="B19" s="10" t="inlineStr">
        <is>
          <t>SSN</t>
        </is>
      </c>
      <c r="C19" s="10" t="inlineStr">
        <is>
          <t>Sitio institucional</t>
        </is>
      </c>
      <c r="D19" s="10" t="inlineStr">
        <is>
          <t>s/d</t>
        </is>
      </c>
      <c r="E19" s="10" t="inlineStr">
        <is>
          <t>Oficial</t>
        </is>
      </c>
      <c r="F19" s="22" t="inlineStr">
        <is>
          <t>https://www.argentina.gob.ar/ssn</t>
        </is>
      </c>
      <c r="G19" s="10" t="inlineStr">
        <is>
          <t>Pendiente de consulta para estadísticas y normas de ART.</t>
        </is>
      </c>
    </row>
  </sheetData>
  <autoFilter ref="A4:G19"/>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9" r:id="rId14"/>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29"/>
  <sheetViews>
    <sheetView showGridLines="0" workbookViewId="0">
      <pane ySplit="4" topLeftCell="A5" activePane="bottomLeft" state="frozen"/>
      <selection pane="bottomLeft" activeCell="A1" sqref="A1"/>
    </sheetView>
  </sheetViews>
  <sheetFormatPr baseColWidth="8" defaultRowHeight="15"/>
  <cols>
    <col width="44" customWidth="1" min="1" max="1"/>
    <col width="20" customWidth="1" min="2" max="2"/>
    <col width="62" customWidth="1" min="3" max="3"/>
    <col width="56" customWidth="1" min="4" max="4"/>
  </cols>
  <sheetData>
    <row r="1">
      <c r="A1" s="7" t="inlineStr">
        <is>
          <t>Limitaciones, datos no disponibles y síntesis</t>
        </is>
      </c>
    </row>
    <row r="2">
      <c r="A2" s="8" t="inlineStr">
        <is>
          <t>Lo que este libro NO contiene y cómo obtenerlo.</t>
        </is>
      </c>
    </row>
    <row r="4">
      <c r="A4" s="9" t="inlineStr">
        <is>
          <t>Dato / tema</t>
        </is>
      </c>
      <c r="B4" s="9" t="inlineStr">
        <is>
          <t>Estado</t>
        </is>
      </c>
      <c r="C4" s="9" t="inlineStr">
        <is>
          <t>Motivo</t>
        </is>
      </c>
      <c r="D4" s="9" t="inlineStr">
        <is>
          <t>Cómo obtenerlo</t>
        </is>
      </c>
    </row>
    <row r="5">
      <c r="A5" s="10" t="inlineStr">
        <is>
          <t>Alícuotas reales de empresas de Misiones</t>
        </is>
      </c>
      <c r="B5" s="10" t="inlineStr">
        <is>
          <t>No disponible</t>
        </is>
      </c>
      <c r="C5" s="10" t="inlineStr">
        <is>
          <t>Son datos contractuales y no se hallaron fuentes públicas verificables.</t>
        </is>
      </c>
      <c r="D5" s="10" t="inlineStr">
        <is>
          <t>Contrato o factura de la ART de la empresa, con autorización.</t>
        </is>
      </c>
    </row>
    <row r="6">
      <c r="A6" s="10" t="inlineStr">
        <is>
          <t>Serie de alícuotas 2021-2025</t>
        </is>
      </c>
      <c r="B6" s="10" t="inlineStr">
        <is>
          <t>No disponible</t>
        </is>
      </c>
      <c r="C6" s="10" t="inlineStr">
        <is>
          <t>No se construye: una serie ficticia sería inválida.</t>
        </is>
      </c>
      <c r="D6" s="10" t="inlineStr">
        <is>
          <t>Series oficiales, si la SRT/SSN las publican; contrastar definiciones.</t>
        </is>
      </c>
    </row>
    <row r="7">
      <c r="A7" s="10" t="inlineStr">
        <is>
          <t>Cápita fija y cuota por trabajador</t>
        </is>
      </c>
      <c r="B7" s="10" t="inlineStr">
        <is>
          <t>No disponible</t>
        </is>
      </c>
      <c r="C7" s="10" t="inlineStr">
        <is>
          <t>Sin documentos de cuota de ninguna empresa.</t>
        </is>
      </c>
      <c r="D7" s="10" t="inlineStr">
        <is>
          <t>Facturas de ART.</t>
        </is>
      </c>
    </row>
    <row r="8">
      <c r="A8" s="10" t="inlineStr">
        <is>
          <t>Masa salarial y nómina de empresas</t>
        </is>
      </c>
      <c r="B8" s="10" t="inlineStr">
        <is>
          <t>No disponible</t>
        </is>
      </c>
      <c r="C8" s="10" t="inlineStr">
        <is>
          <t>Sin datos reales; por eso no se calculan costos monetarios.</t>
        </is>
      </c>
      <c r="D8" s="10" t="inlineStr">
        <is>
          <t>Declaraciones de la empresa.</t>
        </is>
      </c>
    </row>
    <row r="9">
      <c r="A9" s="10" t="inlineStr">
        <is>
          <t>Costo económico total de la accidentabilidad</t>
        </is>
      </c>
      <c r="B9" s="10" t="inlineStr">
        <is>
          <t>No disponible</t>
        </is>
      </c>
      <c r="C9" s="10" t="inlineStr">
        <is>
          <t>Requiere datos internos (ausencias, reemplazos, daños, paradas, litigios).</t>
        </is>
      </c>
      <c r="D9" s="10" t="inlineStr">
        <is>
          <t>Registros contables de la empresa.</t>
        </is>
      </c>
    </row>
    <row r="10">
      <c r="A10" s="10" t="inlineStr">
        <is>
          <t>Estadísticas de siniestralidad de Misiones</t>
        </is>
      </c>
      <c r="B10" s="10" t="inlineStr">
        <is>
          <t>No disponible</t>
        </is>
      </c>
      <c r="C10" s="10" t="inlineStr">
        <is>
          <t>No se incorporaron datos estadísticos verificados.</t>
        </is>
      </c>
      <c r="D10" s="10" t="inlineStr">
        <is>
          <t>Informes y base estadística de la SRT; contrastar período y definiciones.</t>
        </is>
      </c>
    </row>
    <row r="11">
      <c r="A11" s="10" t="inlineStr">
        <is>
          <t>Costos atribuibles a empresas específicas (p. ej., Arauco)</t>
        </is>
      </c>
      <c r="B11" s="10" t="inlineStr">
        <is>
          <t>No disponible</t>
        </is>
      </c>
      <c r="C11" s="10" t="inlineStr">
        <is>
          <t>No se atribuyen sin fuente pública verificable.</t>
        </is>
      </c>
      <c r="D11" s="10" t="inlineStr">
        <is>
          <t>Informes de sostenibilidad o documentos públicos de la empresa.</t>
        </is>
      </c>
    </row>
    <row r="12">
      <c r="A12" s="10" t="inlineStr">
        <is>
          <t>Alícuotas promedio por CIIU</t>
        </is>
      </c>
      <c r="B12" s="10" t="inlineStr">
        <is>
          <t>No transcritas</t>
        </is>
      </c>
      <c r="C12" s="10" t="inlineStr">
        <is>
          <t>Existen para deuda de cuota omitida; no equivalen a la alícuota de una empresa y no se copian al libro.</t>
        </is>
      </c>
      <c r="D12" s="10" t="inlineStr">
        <is>
          <t>Anexos de las resoluciones SRT 34/2025 y 23/2026.</t>
        </is>
      </c>
    </row>
    <row r="13">
      <c r="A13" s="10" t="inlineStr">
        <is>
          <t>Desfase temporal de los datos</t>
        </is>
      </c>
      <c r="B13" s="10" t="inlineStr">
        <is>
          <t>Advertencia</t>
        </is>
      </c>
      <c r="C13" s="10" t="inlineStr">
        <is>
          <t>La cuota usa referencia del mes anterior (según material de partida); las estadísticas pueden estar desfasadas.</t>
        </is>
      </c>
      <c r="D13" s="10" t="inlineStr">
        <is>
          <t>Confirmar en SRT.</t>
        </is>
      </c>
    </row>
    <row r="14">
      <c r="A14" s="10" t="inlineStr">
        <is>
          <t>Gráficos</t>
        </is>
      </c>
      <c r="B14" s="10" t="inlineStr">
        <is>
          <t>No incluidos</t>
        </is>
      </c>
      <c r="C14" s="10" t="inlineStr">
        <is>
          <t>No hay datos numéricos comparables y verificables.</t>
        </is>
      </c>
      <c r="D14" s="10" t="inlineStr">
        <is>
          <t>Incorporar si se obtienen series oficiales.</t>
        </is>
      </c>
    </row>
    <row r="16">
      <c r="A16" s="4" t="inlineStr">
        <is>
          <t>Normas por estado de verificación (vinculado a la hoja Normativa)</t>
        </is>
      </c>
      <c r="B16" s="5" t="n"/>
      <c r="C16" s="5" t="n"/>
      <c r="D16" s="5" t="n"/>
    </row>
    <row r="17">
      <c r="A17" s="25" t="inlineStr">
        <is>
          <t>Verificadas</t>
        </is>
      </c>
      <c r="B17" s="26">
        <f>Normativa!C25</f>
        <v/>
      </c>
    </row>
    <row r="18">
      <c r="A18" s="25" t="inlineStr">
        <is>
          <t>Parciales</t>
        </is>
      </c>
      <c r="B18" s="26">
        <f>Normativa!C26</f>
        <v/>
      </c>
    </row>
    <row r="19">
      <c r="A19" s="25" t="inlineStr">
        <is>
          <t>Pendientes de verificación</t>
        </is>
      </c>
      <c r="B19" s="26">
        <f>Normativa!C27</f>
        <v/>
      </c>
    </row>
    <row r="20">
      <c r="A20" s="25" t="inlineStr">
        <is>
          <t>Total</t>
        </is>
      </c>
      <c r="B20" s="25">
        <f>SUM(B17:B19)</f>
        <v/>
      </c>
    </row>
    <row r="22">
      <c r="A22" s="4" t="inlineStr">
        <is>
          <t>Síntesis final: prevención, siniestralidad y financiamiento</t>
        </is>
      </c>
      <c r="B22" s="5" t="n"/>
      <c r="C22" s="5" t="n"/>
      <c r="D22" s="5" t="n"/>
    </row>
    <row r="23">
      <c r="A23" s="20" t="inlineStr">
        <is>
          <t>Idea</t>
        </is>
      </c>
      <c r="B23" s="20" t="inlineStr">
        <is>
          <t>Tipo de conclusión</t>
        </is>
      </c>
      <c r="C23" s="20" t="inlineStr">
        <is>
          <t>Explicación</t>
        </is>
      </c>
      <c r="D23" s="20" t="inlineStr">
        <is>
          <t>Respaldo</t>
        </is>
      </c>
    </row>
    <row r="24">
      <c r="A24" s="10" t="inlineStr">
        <is>
          <t>El sistema busca reducir la siniestralidad mediante la prevención.</t>
        </is>
      </c>
      <c r="B24" s="10" t="inlineStr">
        <is>
          <t>Respaldada por norma</t>
        </is>
      </c>
      <c r="C24" s="10" t="inlineStr">
        <is>
          <t>La Ley 24.557 fija ese objetivo y obliga a ART, empleadores y trabajadores a adoptar medidas preventivas.</t>
        </is>
      </c>
      <c r="D24" s="10" t="inlineStr">
        <is>
          <t>Considerandos de Res. SRT 61/2023 (Boletín Oficial).</t>
        </is>
      </c>
    </row>
    <row r="25">
      <c r="A25" s="10" t="inlineStr">
        <is>
          <t>El financiamiento proviene de cuotas que pagan los empleadores.</t>
        </is>
      </c>
      <c r="B25" s="10" t="inlineStr">
        <is>
          <t>Conceptual / a confirmar</t>
        </is>
      </c>
      <c r="C25" s="10" t="inlineStr">
        <is>
          <t>La cuota combina una cápita fija y un porcentaje sobre la masa salarial; con ella las ART financian prestaciones y prevención.</t>
        </is>
      </c>
      <c r="D25" s="10" t="inlineStr">
        <is>
          <t>Material de partida; sin valores.</t>
        </is>
      </c>
    </row>
    <row r="26">
      <c r="A26" s="10" t="inlineStr">
        <is>
          <t>Más prevención tiende a reducir los costos del sistema y del empleador.</t>
        </is>
      </c>
      <c r="B26" s="10" t="inlineStr">
        <is>
          <t>Conceptual</t>
        </is>
      </c>
      <c r="C26" s="10" t="inlineStr">
        <is>
          <t>Menos eventos implican menos prestaciones, ausencias, daños y litigios. La magnitud no puede estimarse sin datos.</t>
        </is>
      </c>
      <c r="D26" s="10" t="inlineStr">
        <is>
          <t>Sin estadísticas en este libro.</t>
        </is>
      </c>
    </row>
    <row r="27">
      <c r="A27" s="10" t="inlineStr">
        <is>
          <t>Más accidentes no implican un aumento automático e inmediato de la alícuota.</t>
        </is>
      </c>
      <c r="B27" s="10" t="inlineStr">
        <is>
          <t>Conceptual</t>
        </is>
      </c>
      <c r="C27" s="10" t="inlineStr">
        <is>
          <t>Intervienen actividad, siniestralidad efectiva, masa salarial, cápita, inflación, normas y contrato.</t>
        </is>
      </c>
      <c r="D27" s="10" t="inlineStr">
        <is>
          <t>Sin estadísticas en este libro.</t>
        </is>
      </c>
    </row>
    <row r="28">
      <c r="A28" s="10" t="inlineStr">
        <is>
          <t>La SRT dispone de programas que focalizan la prevención en empleadores con siniestralidad elevada (PESE).</t>
        </is>
      </c>
      <c r="B28" s="10" t="inlineStr">
        <is>
          <t>Respaldada por fuentes oficiales</t>
        </is>
      </c>
      <c r="C28" s="10" t="inlineStr">
        <is>
          <t>Obligaciones definidas para empleador y ART, con visitas y plan de reducción.</t>
        </is>
      </c>
      <c r="D28" s="10" t="inlineStr">
        <is>
          <t>Res. SRT 363/2016 y 20/2018; páginas SRT.</t>
        </is>
      </c>
    </row>
    <row r="29">
      <c r="A29" s="10" t="inlineStr">
        <is>
          <t>Los riesgos de papel y celulosa listados son típicos de la actividad.</t>
        </is>
      </c>
      <c r="B29" s="10" t="inlineStr">
        <is>
          <t>Conocimiento técnico general</t>
        </is>
      </c>
      <c r="C29" s="10" t="inlineStr">
        <is>
          <t>No se relacionan con estadísticas de empresas de Misiones.</t>
        </is>
      </c>
      <c r="D29" s="10" t="inlineStr">
        <is>
          <t>Sin estadísticas en este libro.</t>
        </is>
      </c>
    </row>
  </sheetData>
  <autoFilter ref="A4:D1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2026-10-01T01:45:57Z</dcterms:created>
  <dcterms:modified xmlns:dcterms="http://purl.org/dc/terms/" xmlns:xsi="http://www.w3.org/2001/XMLSchema-instance" xsi:type="dcterms:W3CDTF">2026-10-01T01:45:57Z</dcterms:modified>
</cp:coreProperties>
</file>